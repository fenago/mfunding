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umptions" sheetId="1" state="visible" r:id="rId1"/>
    <sheet xmlns:r="http://schemas.openxmlformats.org/officeDocument/2006/relationships" name="Monthly P&amp;L" sheetId="2" state="visible" r:id="rId2"/>
    <sheet xmlns:r="http://schemas.openxmlformats.org/officeDocument/2006/relationships" name="Scenario Comparison" sheetId="3" state="visible" r:id="rId3"/>
    <sheet xmlns:r="http://schemas.openxmlformats.org/officeDocument/2006/relationships" name="Market Allocation" sheetId="4" state="visible" r:id="rId4"/>
    <sheet xmlns:r="http://schemas.openxmlformats.org/officeDocument/2006/relationships" name="Break-Even" sheetId="5" state="visible" r:id="rId5"/>
    <sheet xmlns:r="http://schemas.openxmlformats.org/officeDocument/2006/relationships" name="Scaling P&amp;L" sheetId="6" state="visible" r:id="rId6"/>
    <sheet xmlns:r="http://schemas.openxmlformats.org/officeDocument/2006/relationships" name="Compensation Guide" sheetId="7" state="visible" r:id="rId7"/>
    <sheet xmlns:r="http://schemas.openxmlformats.org/officeDocument/2006/relationships" name="Hiring Roadmap" sheetId="8" state="visible" r:id="rId8"/>
    <sheet xmlns:r="http://schemas.openxmlformats.org/officeDocument/2006/relationships" name="Sub-ISO Economic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7">
    <numFmt numFmtId="164" formatCode="\$#,##0"/>
    <numFmt numFmtId="165" formatCode="0.0%"/>
    <numFmt numFmtId="166" formatCode="0.00\x"/>
    <numFmt numFmtId="167" formatCode="\$#,##0;&quot;($&quot;#,##0\);\-"/>
    <numFmt numFmtId="168" formatCode="0.0"/>
    <numFmt numFmtId="169" formatCode="$#,##0"/>
    <numFmt numFmtId="170" formatCode="$#,##0;($#,##0);&quot;-&quot;"/>
  </numFmts>
  <fonts count="2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b val="1"/>
      <color rgb="FFFFFFFF"/>
      <sz val="11"/>
    </font>
    <font>
      <name val="Arial"/>
      <charset val="1"/>
      <family val="0"/>
      <b val="1"/>
      <color rgb="FFFFFFFF"/>
      <sz val="12"/>
    </font>
    <font>
      <name val="Arial"/>
      <charset val="1"/>
      <family val="0"/>
      <b val="1"/>
      <color rgb="FF000000"/>
      <sz val="11"/>
    </font>
    <font>
      <name val="Arial"/>
      <charset val="1"/>
      <family val="0"/>
      <color rgb="FF000000"/>
      <sz val="11"/>
    </font>
    <font>
      <name val="Arial"/>
      <charset val="1"/>
      <family val="0"/>
      <color rgb="FF0000FF"/>
      <sz val="11"/>
    </font>
    <font>
      <name val="Arial"/>
      <charset val="1"/>
      <family val="0"/>
      <i val="1"/>
      <color rgb="FF666666"/>
      <sz val="10"/>
    </font>
    <font>
      <name val="Arial"/>
      <charset val="1"/>
      <family val="0"/>
      <b val="1"/>
      <sz val="12"/>
    </font>
    <font>
      <name val="Arial"/>
      <charset val="1"/>
      <family val="0"/>
      <b val="1"/>
      <sz val="13"/>
    </font>
    <font>
      <name val="Arial"/>
      <b val="1"/>
      <color rgb="00FFFFFF"/>
      <sz val="18"/>
    </font>
    <font>
      <name val="Arial"/>
      <b val="1"/>
      <color rgb="00FFFFFF"/>
      <sz val="11"/>
    </font>
    <font>
      <name val="Arial"/>
      <b val="1"/>
      <color rgb="00000000"/>
      <sz val="11"/>
    </font>
    <font>
      <name val="Arial"/>
      <b val="1"/>
      <color rgb="00FFFFFF"/>
      <sz val="12"/>
    </font>
    <font>
      <name val="Arial"/>
      <color rgb="00000000"/>
      <sz val="11"/>
    </font>
    <font>
      <name val="Arial"/>
      <color rgb="000000FF"/>
      <sz val="11"/>
    </font>
    <font>
      <name val="Arial"/>
      <b val="1"/>
      <color rgb="00000000"/>
      <sz val="13"/>
    </font>
    <font>
      <name val="Arial"/>
      <b val="1"/>
      <sz val="14"/>
    </font>
    <font>
      <name val="Arial"/>
      <b val="1"/>
      <color rgb="00B71C1C"/>
      <sz val="12"/>
    </font>
    <font>
      <name val="Arial"/>
      <color rgb="00B71C1C"/>
      <sz val="11"/>
    </font>
    <font>
      <name val="Arial"/>
      <b val="1"/>
      <color rgb="001B7A3D"/>
      <sz val="14"/>
    </font>
    <font>
      <name val="Arial"/>
      <b val="1"/>
      <color rgb="001B7A3D"/>
      <sz val="13"/>
    </font>
    <font>
      <name val="Arial"/>
      <b val="1"/>
      <color rgb="001B7A3D"/>
      <sz val="11"/>
    </font>
  </fonts>
  <fills count="29">
    <fill>
      <patternFill/>
    </fill>
    <fill>
      <patternFill patternType="gray125"/>
    </fill>
    <fill>
      <patternFill patternType="solid">
        <fgColor rgb="FF1A3C6E"/>
        <bgColor rgb="FF333399"/>
      </patternFill>
    </fill>
    <fill>
      <patternFill patternType="solid">
        <fgColor rgb="FF2E5EA0"/>
        <bgColor rgb="FF3366FF"/>
      </patternFill>
    </fill>
    <fill>
      <patternFill patternType="solid">
        <fgColor rgb="FFD6E4F0"/>
        <bgColor rgb="FFE2EFDA"/>
      </patternFill>
    </fill>
    <fill>
      <patternFill patternType="solid">
        <fgColor rgb="FFFFF9C4"/>
        <bgColor rgb="FFFFFF99"/>
      </patternFill>
    </fill>
    <fill>
      <patternFill patternType="solid">
        <fgColor rgb="FFE2EFDA"/>
        <bgColor rgb="FFF2F2F2"/>
      </patternFill>
    </fill>
    <fill>
      <patternFill patternType="solid">
        <fgColor rgb="FF27AE60"/>
        <bgColor rgb="FF008080"/>
      </patternFill>
    </fill>
    <fill>
      <patternFill patternType="solid">
        <fgColor rgb="FFE74C3C"/>
        <bgColor rgb="FFFF8080"/>
      </patternFill>
    </fill>
    <fill>
      <patternFill patternType="solid">
        <fgColor rgb="FFFCE4EC"/>
        <bgColor rgb="FFF2F2F2"/>
      </patternFill>
    </fill>
    <fill>
      <patternFill patternType="solid">
        <fgColor rgb="FFF39C12"/>
        <bgColor rgb="FFFFCC00"/>
      </patternFill>
    </fill>
    <fill>
      <patternFill patternType="solid">
        <fgColor rgb="FFF2F2F2"/>
        <bgColor rgb="FFE2EFDA"/>
      </patternFill>
    </fill>
    <fill>
      <patternFill patternType="solid">
        <fgColor rgb="001A3C6E"/>
      </patternFill>
    </fill>
    <fill>
      <patternFill patternType="solid">
        <fgColor rgb="002E5EA0"/>
      </patternFill>
    </fill>
    <fill>
      <patternFill patternType="solid">
        <fgColor rgb="008E44AD"/>
      </patternFill>
    </fill>
    <fill>
      <patternFill patternType="solid">
        <fgColor rgb="00F39C12"/>
      </patternFill>
    </fill>
    <fill>
      <patternFill patternType="solid">
        <fgColor rgb="0027AE60"/>
      </patternFill>
    </fill>
    <fill>
      <patternFill patternType="solid">
        <fgColor rgb="00D6E4F0"/>
      </patternFill>
    </fill>
    <fill>
      <patternFill patternType="solid">
        <fgColor rgb="00E2EFDA"/>
      </patternFill>
    </fill>
    <fill>
      <patternFill patternType="solid">
        <fgColor rgb="00E74C3C"/>
      </patternFill>
    </fill>
    <fill>
      <patternFill patternType="solid">
        <fgColor rgb="00FCE4EC"/>
      </patternFill>
    </fill>
    <fill>
      <patternFill patternType="solid">
        <fgColor rgb="00F2F2F2"/>
      </patternFill>
    </fill>
    <fill>
      <patternFill patternType="solid">
        <fgColor rgb="00FFFFFF"/>
      </patternFill>
    </fill>
    <fill>
      <patternFill patternType="solid">
        <fgColor rgb="002ECC71"/>
      </patternFill>
    </fill>
    <fill>
      <patternFill patternType="solid">
        <fgColor rgb="00FFCDD2"/>
      </patternFill>
    </fill>
    <fill>
      <patternFill patternType="solid">
        <fgColor rgb="00FFEBEE"/>
      </patternFill>
    </fill>
    <fill>
      <patternFill patternType="solid">
        <fgColor rgb="001B7A3D"/>
      </patternFill>
    </fill>
    <fill>
      <patternFill patternType="solid">
        <fgColor rgb="002D8B4A"/>
      </patternFill>
    </fill>
    <fill>
      <patternFill patternType="solid">
        <fgColor rgb="00E8F5E9"/>
      </patternFill>
    </fill>
  </fills>
  <borders count="10">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diagonal/>
    </border>
    <border>
      <left/>
      <right style="thin">
        <color rgb="FFB0B0B0"/>
      </right>
      <top style="thin">
        <color rgb="FFB0B0B0"/>
      </top>
      <bottom/>
      <diagonal/>
    </border>
    <border>
      <left/>
      <right style="thin">
        <color rgb="FFB0B0B0"/>
      </right>
      <top style="thin">
        <color rgb="FFB0B0B0"/>
      </top>
      <bottom style="thin">
        <color rgb="FFB0B0B0"/>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
      <left/>
      <right/>
      <top style="thin">
        <color rgb="00B0B0B0"/>
      </top>
      <bottom style="thin">
        <color rgb="00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4">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0" applyAlignment="1" pivotButton="0" quotePrefix="0" xfId="0">
      <alignment horizontal="general" vertical="bottom"/>
    </xf>
    <xf numFmtId="0" fontId="7" fillId="4"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164" fontId="9"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7" fillId="0" borderId="1" applyAlignment="1" pivotButton="0" quotePrefix="0" xfId="0">
      <alignment horizontal="center" vertical="center" wrapText="1"/>
    </xf>
    <xf numFmtId="165" fontId="9"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bottom"/>
    </xf>
    <xf numFmtId="164" fontId="7" fillId="5" borderId="1" applyAlignment="1" pivotButton="0" quotePrefix="0" xfId="0">
      <alignment horizontal="general" vertical="bottom"/>
    </xf>
    <xf numFmtId="0" fontId="5" fillId="2" borderId="1" applyAlignment="1" pivotButton="0" quotePrefix="0" xfId="0">
      <alignment horizontal="center" vertical="center" wrapText="1"/>
    </xf>
    <xf numFmtId="0" fontId="10" fillId="0" borderId="1" applyAlignment="1" pivotButton="0" quotePrefix="0" xfId="0">
      <alignment horizontal="general" vertical="bottom"/>
    </xf>
    <xf numFmtId="166" fontId="9" fillId="5" borderId="1" applyAlignment="1" pivotButton="0" quotePrefix="0" xfId="0">
      <alignment horizontal="center" vertical="center" wrapText="1"/>
    </xf>
    <xf numFmtId="0" fontId="6" fillId="3" borderId="1" applyAlignment="1" pivotButton="0" quotePrefix="0" xfId="0">
      <alignment horizontal="general" vertical="bottom"/>
    </xf>
    <xf numFmtId="0" fontId="0" fillId="3" borderId="1" applyAlignment="1" pivotButton="0" quotePrefix="0" xfId="0">
      <alignment horizontal="general" vertical="bottom"/>
    </xf>
    <xf numFmtId="0" fontId="8" fillId="0" borderId="1" applyAlignment="1" pivotButton="0" quotePrefix="0" xfId="0">
      <alignment horizontal="general" vertical="bottom"/>
    </xf>
    <xf numFmtId="3" fontId="8" fillId="0" borderId="1" applyAlignment="1" pivotButton="0" quotePrefix="0" xfId="0">
      <alignment horizontal="center" vertical="center" wrapText="1"/>
    </xf>
    <xf numFmtId="3" fontId="7" fillId="0" borderId="1" applyAlignment="1" pivotButton="0" quotePrefix="0" xfId="0">
      <alignment horizontal="general" vertical="bottom"/>
    </xf>
    <xf numFmtId="0" fontId="7" fillId="4" borderId="1" applyAlignment="1" pivotButton="0" quotePrefix="0" xfId="0">
      <alignment horizontal="general" vertical="bottom"/>
    </xf>
    <xf numFmtId="3" fontId="7" fillId="4" borderId="1" applyAlignment="1" pivotButton="0" quotePrefix="0" xfId="0">
      <alignment horizontal="center" vertical="center" wrapText="1"/>
    </xf>
    <xf numFmtId="0" fontId="7" fillId="6" borderId="1" applyAlignment="1" pivotButton="0" quotePrefix="0" xfId="0">
      <alignment horizontal="general" vertical="bottom"/>
    </xf>
    <xf numFmtId="3" fontId="7" fillId="6" borderId="1" applyAlignment="1" pivotButton="0" quotePrefix="0" xfId="0">
      <alignment horizontal="center" vertical="center" wrapText="1"/>
    </xf>
    <xf numFmtId="3" fontId="7" fillId="6" borderId="1" applyAlignment="1" pivotButton="0" quotePrefix="0" xfId="0">
      <alignment horizontal="general" vertical="bottom"/>
    </xf>
    <xf numFmtId="0" fontId="8" fillId="6" borderId="1" applyAlignment="1" pivotButton="0" quotePrefix="0" xfId="0">
      <alignment horizontal="general" vertical="bottom"/>
    </xf>
    <xf numFmtId="3" fontId="8" fillId="6" borderId="1" applyAlignment="1" pivotButton="0" quotePrefix="0" xfId="0">
      <alignment horizontal="center" vertical="center" wrapText="1"/>
    </xf>
    <xf numFmtId="0" fontId="6" fillId="7" borderId="1" applyAlignment="1" pivotButton="0" quotePrefix="0" xfId="0">
      <alignment horizontal="general" vertical="bottom"/>
    </xf>
    <xf numFmtId="0" fontId="0" fillId="7" borderId="1" applyAlignment="1" pivotButton="0" quotePrefix="0" xfId="0">
      <alignment horizontal="general" vertical="bottom"/>
    </xf>
    <xf numFmtId="164" fontId="8" fillId="0" borderId="1" applyAlignment="1" pivotButton="0" quotePrefix="0" xfId="0">
      <alignment horizontal="center" vertical="center" wrapText="1"/>
    </xf>
    <xf numFmtId="164" fontId="7" fillId="0" borderId="1" applyAlignment="1" pivotButton="0" quotePrefix="0" xfId="0">
      <alignment horizontal="general" vertical="bottom"/>
    </xf>
    <xf numFmtId="164" fontId="7" fillId="6" borderId="1" applyAlignment="1" pivotButton="0" quotePrefix="0" xfId="0">
      <alignment horizontal="center" vertical="center" wrapText="1"/>
    </xf>
    <xf numFmtId="0" fontId="6" fillId="8" borderId="1" applyAlignment="1" pivotButton="0" quotePrefix="0" xfId="0">
      <alignment horizontal="general" vertical="bottom"/>
    </xf>
    <xf numFmtId="0" fontId="0" fillId="8" borderId="1" applyAlignment="1" pivotButton="0" quotePrefix="0" xfId="0">
      <alignment horizontal="general" vertical="bottom"/>
    </xf>
    <xf numFmtId="164" fontId="7" fillId="0" borderId="1" applyAlignment="1" pivotButton="0" quotePrefix="0" xfId="0">
      <alignment horizontal="center" vertical="center" wrapText="1"/>
    </xf>
    <xf numFmtId="0" fontId="7" fillId="9" borderId="1" applyAlignment="1" pivotButton="0" quotePrefix="0" xfId="0">
      <alignment horizontal="general" vertical="bottom"/>
    </xf>
    <xf numFmtId="164" fontId="7" fillId="9" borderId="1" applyAlignment="1" pivotButton="0" quotePrefix="0" xfId="0">
      <alignment horizontal="center" vertical="center" wrapText="1"/>
    </xf>
    <xf numFmtId="0" fontId="6" fillId="2" borderId="1" applyAlignment="1" pivotButton="0" quotePrefix="0" xfId="0">
      <alignment horizontal="general" vertical="bottom"/>
    </xf>
    <xf numFmtId="0" fontId="0" fillId="2" borderId="1" applyAlignment="1" pivotButton="0" quotePrefix="0" xfId="0">
      <alignment horizontal="general" vertical="bottom"/>
    </xf>
    <xf numFmtId="167" fontId="11" fillId="0" borderId="1" applyAlignment="1" pivotButton="0" quotePrefix="0" xfId="0">
      <alignment horizontal="center" vertical="center" wrapText="1"/>
    </xf>
    <xf numFmtId="165" fontId="8" fillId="0" borderId="1" applyAlignment="1" pivotButton="0" quotePrefix="0" xfId="0">
      <alignment horizontal="center" vertical="center" wrapText="1"/>
    </xf>
    <xf numFmtId="167" fontId="7" fillId="0" borderId="1" applyAlignment="1" pivotButton="0" quotePrefix="0" xfId="0">
      <alignment horizontal="center" vertical="center" wrapText="1"/>
    </xf>
    <xf numFmtId="0" fontId="6" fillId="10" borderId="1" applyAlignment="1" pivotButton="0" quotePrefix="0" xfId="0">
      <alignment horizontal="general" vertical="bottom"/>
    </xf>
    <xf numFmtId="0" fontId="0" fillId="10" borderId="1" applyAlignment="1" pivotButton="0" quotePrefix="0" xfId="0">
      <alignment horizontal="general" vertical="bottom"/>
    </xf>
    <xf numFmtId="165" fontId="7" fillId="0" borderId="1"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general" vertical="bottom"/>
    </xf>
    <xf numFmtId="0" fontId="0" fillId="3" borderId="0" applyAlignment="1" pivotButton="0" quotePrefix="0" xfId="0">
      <alignment horizontal="general" vertical="bottom"/>
    </xf>
    <xf numFmtId="168" fontId="8" fillId="0" borderId="1" applyAlignment="1" pivotButton="0" quotePrefix="0" xfId="0">
      <alignment horizontal="center" vertical="center" wrapText="1"/>
    </xf>
    <xf numFmtId="164" fontId="12" fillId="6" borderId="1" applyAlignment="1" pivotButton="0" quotePrefix="0" xfId="0">
      <alignment horizontal="center" vertical="center" wrapText="1"/>
    </xf>
    <xf numFmtId="0" fontId="5" fillId="2" borderId="0" applyAlignment="1" pivotButton="0" quotePrefix="0" xfId="0">
      <alignment horizontal="center" vertical="center" wrapText="1"/>
    </xf>
    <xf numFmtId="0" fontId="8" fillId="11" borderId="1" applyAlignment="1" pivotButton="0" quotePrefix="0" xfId="0">
      <alignment horizontal="center" vertical="center" wrapText="1"/>
    </xf>
    <xf numFmtId="0" fontId="7" fillId="11" borderId="1" applyAlignment="1" pivotButton="0" quotePrefix="0" xfId="0">
      <alignment horizontal="general" vertical="bottom"/>
    </xf>
    <xf numFmtId="165" fontId="9" fillId="11" borderId="1" applyAlignment="1" pivotButton="0" quotePrefix="0" xfId="0">
      <alignment horizontal="center" vertical="center" wrapText="1"/>
    </xf>
    <xf numFmtId="168" fontId="0" fillId="11" borderId="1" applyAlignment="1" pivotButton="0" quotePrefix="0" xfId="0">
      <alignment horizontal="center" vertical="center" wrapText="1"/>
    </xf>
    <xf numFmtId="164" fontId="0" fillId="11" borderId="1" applyAlignment="1" pivotButton="0" quotePrefix="0" xfId="0">
      <alignment horizontal="center" vertical="center" wrapText="1"/>
    </xf>
    <xf numFmtId="167" fontId="0" fillId="11" borderId="1" applyAlignment="1" pivotButton="0" quotePrefix="0" xfId="0">
      <alignment horizontal="center" vertical="center" wrapText="1"/>
    </xf>
    <xf numFmtId="0" fontId="7" fillId="11" borderId="1" applyAlignment="1" pivotButton="0" quotePrefix="0" xfId="0">
      <alignment horizontal="center" vertical="center" wrapText="1"/>
    </xf>
    <xf numFmtId="168"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7" fontId="0" fillId="0" borderId="1" applyAlignment="1" pivotButton="0" quotePrefix="0" xfId="0">
      <alignment horizontal="center" vertical="center" wrapText="1"/>
    </xf>
    <xf numFmtId="165" fontId="7" fillId="4" borderId="1" applyAlignment="1" pivotButton="0" quotePrefix="0" xfId="0">
      <alignment horizontal="center" vertical="center" wrapText="1"/>
    </xf>
    <xf numFmtId="168" fontId="7" fillId="4" borderId="1" applyAlignment="1" pivotButton="0" quotePrefix="0" xfId="0">
      <alignment horizontal="center" vertical="center" wrapText="1"/>
    </xf>
    <xf numFmtId="164" fontId="7" fillId="4" borderId="1" applyAlignment="1" pivotButton="0" quotePrefix="0" xfId="0">
      <alignment horizontal="center" vertical="center" wrapText="1"/>
    </xf>
    <xf numFmtId="0" fontId="7" fillId="0" borderId="0" applyAlignment="1" pivotButton="0" quotePrefix="0" xfId="0">
      <alignment horizontal="general" vertical="bottom"/>
    </xf>
    <xf numFmtId="0" fontId="10" fillId="0" borderId="0" applyAlignment="1" pivotButton="0" quotePrefix="0" xfId="0">
      <alignment horizontal="general" vertical="bottom"/>
    </xf>
    <xf numFmtId="164" fontId="11" fillId="6" borderId="1" applyAlignment="1" pivotButton="0" quotePrefix="0" xfId="0">
      <alignment horizontal="center" vertical="center" wrapText="1"/>
    </xf>
    <xf numFmtId="3" fontId="11" fillId="5" borderId="1" applyAlignment="1" pivotButton="0" quotePrefix="0" xfId="0">
      <alignment horizontal="center" vertical="center"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0" applyAlignment="1" pivotButton="0" quotePrefix="0" xfId="0">
      <alignment horizontal="general" vertical="bottom"/>
    </xf>
    <xf numFmtId="0" fontId="7" fillId="4"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164" fontId="9"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7" fillId="0" borderId="1" applyAlignment="1" pivotButton="0" quotePrefix="0" xfId="0">
      <alignment horizontal="center" vertical="center" wrapText="1"/>
    </xf>
    <xf numFmtId="165" fontId="9"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bottom"/>
    </xf>
    <xf numFmtId="164" fontId="7" fillId="5" borderId="1" applyAlignment="1" pivotButton="0" quotePrefix="0" xfId="0">
      <alignment horizontal="general" vertical="bottom"/>
    </xf>
    <xf numFmtId="0" fontId="5" fillId="2" borderId="1" applyAlignment="1" pivotButton="0" quotePrefix="0" xfId="0">
      <alignment horizontal="center" vertical="center" wrapText="1"/>
    </xf>
    <xf numFmtId="0" fontId="10" fillId="0" borderId="1" applyAlignment="1" pivotButton="0" quotePrefix="0" xfId="0">
      <alignment horizontal="general" vertical="bottom"/>
    </xf>
    <xf numFmtId="166" fontId="9" fillId="5" borderId="1" applyAlignment="1" pivotButton="0" quotePrefix="0" xfId="0">
      <alignment horizontal="center" vertical="center" wrapText="1"/>
    </xf>
    <xf numFmtId="0" fontId="6" fillId="3" borderId="1" applyAlignment="1" pivotButton="0" quotePrefix="0" xfId="0">
      <alignment horizontal="general" vertical="bottom"/>
    </xf>
    <xf numFmtId="0" fontId="0" fillId="0" borderId="4" pivotButton="0" quotePrefix="0" xfId="0"/>
    <xf numFmtId="0" fontId="0" fillId="3" borderId="1" applyAlignment="1" pivotButton="0" quotePrefix="0" xfId="0">
      <alignment horizontal="general" vertical="bottom"/>
    </xf>
    <xf numFmtId="0" fontId="8" fillId="0" borderId="1" applyAlignment="1" pivotButton="0" quotePrefix="0" xfId="0">
      <alignment horizontal="general" vertical="bottom"/>
    </xf>
    <xf numFmtId="3" fontId="8" fillId="0" borderId="1" applyAlignment="1" pivotButton="0" quotePrefix="0" xfId="0">
      <alignment horizontal="center" vertical="center" wrapText="1"/>
    </xf>
    <xf numFmtId="3" fontId="7" fillId="0" borderId="1" applyAlignment="1" pivotButton="0" quotePrefix="0" xfId="0">
      <alignment horizontal="general" vertical="bottom"/>
    </xf>
    <xf numFmtId="0" fontId="7" fillId="4" borderId="1" applyAlignment="1" pivotButton="0" quotePrefix="0" xfId="0">
      <alignment horizontal="general" vertical="bottom"/>
    </xf>
    <xf numFmtId="3" fontId="7" fillId="4" borderId="1" applyAlignment="1" pivotButton="0" quotePrefix="0" xfId="0">
      <alignment horizontal="center" vertical="center" wrapText="1"/>
    </xf>
    <xf numFmtId="0" fontId="7" fillId="6" borderId="1" applyAlignment="1" pivotButton="0" quotePrefix="0" xfId="0">
      <alignment horizontal="general" vertical="bottom"/>
    </xf>
    <xf numFmtId="3" fontId="7" fillId="6" borderId="1" applyAlignment="1" pivotButton="0" quotePrefix="0" xfId="0">
      <alignment horizontal="center" vertical="center" wrapText="1"/>
    </xf>
    <xf numFmtId="3" fontId="7" fillId="6" borderId="1" applyAlignment="1" pivotButton="0" quotePrefix="0" xfId="0">
      <alignment horizontal="general" vertical="bottom"/>
    </xf>
    <xf numFmtId="0" fontId="8" fillId="6" borderId="1" applyAlignment="1" pivotButton="0" quotePrefix="0" xfId="0">
      <alignment horizontal="general" vertical="bottom"/>
    </xf>
    <xf numFmtId="3" fontId="8" fillId="6" borderId="1" applyAlignment="1" pivotButton="0" quotePrefix="0" xfId="0">
      <alignment horizontal="center" vertical="center" wrapText="1"/>
    </xf>
    <xf numFmtId="0" fontId="6" fillId="7" borderId="1" applyAlignment="1" pivotButton="0" quotePrefix="0" xfId="0">
      <alignment horizontal="general" vertical="bottom"/>
    </xf>
    <xf numFmtId="0" fontId="0" fillId="7" borderId="1" applyAlignment="1" pivotButton="0" quotePrefix="0" xfId="0">
      <alignment horizontal="general" vertical="bottom"/>
    </xf>
    <xf numFmtId="164" fontId="8" fillId="0" borderId="1" applyAlignment="1" pivotButton="0" quotePrefix="0" xfId="0">
      <alignment horizontal="center" vertical="center" wrapText="1"/>
    </xf>
    <xf numFmtId="164" fontId="7" fillId="0" borderId="1" applyAlignment="1" pivotButton="0" quotePrefix="0" xfId="0">
      <alignment horizontal="general" vertical="bottom"/>
    </xf>
    <xf numFmtId="164" fontId="7" fillId="6" borderId="1" applyAlignment="1" pivotButton="0" quotePrefix="0" xfId="0">
      <alignment horizontal="center" vertical="center" wrapText="1"/>
    </xf>
    <xf numFmtId="0" fontId="6" fillId="8" borderId="1" applyAlignment="1" pivotButton="0" quotePrefix="0" xfId="0">
      <alignment horizontal="general" vertical="bottom"/>
    </xf>
    <xf numFmtId="0" fontId="0" fillId="8" borderId="1" applyAlignment="1" pivotButton="0" quotePrefix="0" xfId="0">
      <alignment horizontal="general" vertical="bottom"/>
    </xf>
    <xf numFmtId="164" fontId="7" fillId="0" borderId="1" applyAlignment="1" pivotButton="0" quotePrefix="0" xfId="0">
      <alignment horizontal="center" vertical="center" wrapText="1"/>
    </xf>
    <xf numFmtId="0" fontId="7" fillId="9" borderId="1" applyAlignment="1" pivotButton="0" quotePrefix="0" xfId="0">
      <alignment horizontal="general" vertical="bottom"/>
    </xf>
    <xf numFmtId="164" fontId="7" fillId="9" borderId="1" applyAlignment="1" pivotButton="0" quotePrefix="0" xfId="0">
      <alignment horizontal="center" vertical="center" wrapText="1"/>
    </xf>
    <xf numFmtId="0" fontId="6" fillId="2" borderId="1" applyAlignment="1" pivotButton="0" quotePrefix="0" xfId="0">
      <alignment horizontal="general" vertical="bottom"/>
    </xf>
    <xf numFmtId="0" fontId="0" fillId="2" borderId="1" applyAlignment="1" pivotButton="0" quotePrefix="0" xfId="0">
      <alignment horizontal="general" vertical="bottom"/>
    </xf>
    <xf numFmtId="167" fontId="11" fillId="0" borderId="1" applyAlignment="1" pivotButton="0" quotePrefix="0" xfId="0">
      <alignment horizontal="center" vertical="center" wrapText="1"/>
    </xf>
    <xf numFmtId="165" fontId="8" fillId="0" borderId="1" applyAlignment="1" pivotButton="0" quotePrefix="0" xfId="0">
      <alignment horizontal="center" vertical="center" wrapText="1"/>
    </xf>
    <xf numFmtId="167" fontId="7" fillId="0" borderId="1" applyAlignment="1" pivotButton="0" quotePrefix="0" xfId="0">
      <alignment horizontal="center" vertical="center" wrapText="1"/>
    </xf>
    <xf numFmtId="0" fontId="6" fillId="10" borderId="1" applyAlignment="1" pivotButton="0" quotePrefix="0" xfId="0">
      <alignment horizontal="general" vertical="bottom"/>
    </xf>
    <xf numFmtId="0" fontId="0" fillId="10" borderId="1" applyAlignment="1" pivotButton="0" quotePrefix="0" xfId="0">
      <alignment horizontal="general" vertical="bottom"/>
    </xf>
    <xf numFmtId="165" fontId="7" fillId="0" borderId="1" applyAlignment="1" pivotButton="0" quotePrefix="0" xfId="0">
      <alignment horizontal="general" vertical="bottom"/>
    </xf>
    <xf numFmtId="0" fontId="6" fillId="2" borderId="0" applyAlignment="1" pivotButton="0" quotePrefix="0" xfId="0">
      <alignment horizontal="center" vertical="center" wrapText="1"/>
    </xf>
    <xf numFmtId="0" fontId="6" fillId="3" borderId="0" applyAlignment="1" pivotButton="0" quotePrefix="0" xfId="0">
      <alignment horizontal="general" vertical="bottom"/>
    </xf>
    <xf numFmtId="0" fontId="0" fillId="3" borderId="0" applyAlignment="1" pivotButton="0" quotePrefix="0" xfId="0">
      <alignment horizontal="general" vertical="bottom"/>
    </xf>
    <xf numFmtId="168" fontId="8" fillId="0" borderId="1" applyAlignment="1" pivotButton="0" quotePrefix="0" xfId="0">
      <alignment horizontal="center" vertical="center" wrapText="1"/>
    </xf>
    <xf numFmtId="164" fontId="12" fillId="6" borderId="1" applyAlignment="1" pivotButton="0" quotePrefix="0" xfId="0">
      <alignment horizontal="center" vertical="center" wrapText="1"/>
    </xf>
    <xf numFmtId="0" fontId="5" fillId="2" borderId="0" applyAlignment="1" pivotButton="0" quotePrefix="0" xfId="0">
      <alignment horizontal="center" vertical="center" wrapText="1"/>
    </xf>
    <xf numFmtId="0" fontId="8" fillId="11" borderId="1" applyAlignment="1" pivotButton="0" quotePrefix="0" xfId="0">
      <alignment horizontal="center" vertical="center" wrapText="1"/>
    </xf>
    <xf numFmtId="0" fontId="7" fillId="11" borderId="1" applyAlignment="1" pivotButton="0" quotePrefix="0" xfId="0">
      <alignment horizontal="general" vertical="bottom"/>
    </xf>
    <xf numFmtId="165" fontId="9" fillId="11" borderId="1" applyAlignment="1" pivotButton="0" quotePrefix="0" xfId="0">
      <alignment horizontal="center" vertical="center" wrapText="1"/>
    </xf>
    <xf numFmtId="168" fontId="0" fillId="11" borderId="1" applyAlignment="1" pivotButton="0" quotePrefix="0" xfId="0">
      <alignment horizontal="center" vertical="center" wrapText="1"/>
    </xf>
    <xf numFmtId="164" fontId="0" fillId="11" borderId="1" applyAlignment="1" pivotButton="0" quotePrefix="0" xfId="0">
      <alignment horizontal="center" vertical="center" wrapText="1"/>
    </xf>
    <xf numFmtId="167" fontId="0" fillId="11" borderId="1" applyAlignment="1" pivotButton="0" quotePrefix="0" xfId="0">
      <alignment horizontal="center" vertical="center" wrapText="1"/>
    </xf>
    <xf numFmtId="0" fontId="7" fillId="11" borderId="1" applyAlignment="1" pivotButton="0" quotePrefix="0" xfId="0">
      <alignment horizontal="center" vertical="center" wrapText="1"/>
    </xf>
    <xf numFmtId="168"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7" fontId="0" fillId="0" borderId="1" applyAlignment="1" pivotButton="0" quotePrefix="0" xfId="0">
      <alignment horizontal="center" vertical="center" wrapText="1"/>
    </xf>
    <xf numFmtId="165" fontId="7" fillId="4" borderId="1" applyAlignment="1" pivotButton="0" quotePrefix="0" xfId="0">
      <alignment horizontal="center" vertical="center" wrapText="1"/>
    </xf>
    <xf numFmtId="168" fontId="7" fillId="4" borderId="1" applyAlignment="1" pivotButton="0" quotePrefix="0" xfId="0">
      <alignment horizontal="center" vertical="center" wrapText="1"/>
    </xf>
    <xf numFmtId="164" fontId="7" fillId="4" borderId="1" applyAlignment="1" pivotButton="0" quotePrefix="0" xfId="0">
      <alignment horizontal="center" vertical="center" wrapText="1"/>
    </xf>
    <xf numFmtId="0" fontId="7" fillId="0" borderId="0" applyAlignment="1" pivotButton="0" quotePrefix="0" xfId="0">
      <alignment horizontal="general" vertical="bottom"/>
    </xf>
    <xf numFmtId="0" fontId="10" fillId="0" borderId="0" applyAlignment="1" pivotButton="0" quotePrefix="0" xfId="0">
      <alignment horizontal="general" vertical="bottom"/>
    </xf>
    <xf numFmtId="164" fontId="11" fillId="6" borderId="1" applyAlignment="1" pivotButton="0" quotePrefix="0" xfId="0">
      <alignment horizontal="center" vertical="center" wrapText="1"/>
    </xf>
    <xf numFmtId="3" fontId="11" fillId="5" borderId="1" applyAlignment="1" pivotButton="0" quotePrefix="0" xfId="0">
      <alignment horizontal="center" vertical="center" wrapText="1"/>
    </xf>
    <xf numFmtId="0" fontId="10" fillId="0" borderId="0" applyAlignment="1" pivotButton="0" quotePrefix="0" xfId="0">
      <alignment horizontal="general" vertical="top" wrapText="1"/>
    </xf>
    <xf numFmtId="0" fontId="13" fillId="12" borderId="0" applyAlignment="1" pivotButton="0" quotePrefix="0" xfId="0">
      <alignment horizontal="center" vertical="center" wrapText="1"/>
    </xf>
    <xf numFmtId="0" fontId="14" fillId="13" borderId="0" applyAlignment="1" pivotButton="0" quotePrefix="0" xfId="0">
      <alignment horizontal="center" vertical="center" wrapText="1"/>
    </xf>
    <xf numFmtId="0" fontId="0" fillId="0" borderId="5" pivotButton="0" quotePrefix="0" xfId="0"/>
    <xf numFmtId="0" fontId="15" fillId="0" borderId="5" pivotButton="0" quotePrefix="0" xfId="0"/>
    <xf numFmtId="0" fontId="14" fillId="12" borderId="5" applyAlignment="1" pivotButton="0" quotePrefix="0" xfId="0">
      <alignment horizontal="center" vertical="center" wrapText="1"/>
    </xf>
    <xf numFmtId="0" fontId="14" fillId="14" borderId="5" pivotButton="0" quotePrefix="0" xfId="0"/>
    <xf numFmtId="0" fontId="14" fillId="14" borderId="5" applyAlignment="1" pivotButton="0" quotePrefix="0" xfId="0">
      <alignment horizontal="center" vertical="center" wrapText="1"/>
    </xf>
    <xf numFmtId="0" fontId="0" fillId="14" borderId="5" pivotButton="0" quotePrefix="0" xfId="0"/>
    <xf numFmtId="0" fontId="14" fillId="15" borderId="5" applyAlignment="1" pivotButton="0" quotePrefix="0" xfId="0">
      <alignment horizontal="center" vertical="center" wrapText="1"/>
    </xf>
    <xf numFmtId="0" fontId="0" fillId="15" borderId="5" pivotButton="0" quotePrefix="0" xfId="0"/>
    <xf numFmtId="0" fontId="14" fillId="16" borderId="5" applyAlignment="1" pivotButton="0" quotePrefix="0" xfId="0">
      <alignment horizontal="center" vertical="center" wrapText="1"/>
    </xf>
    <xf numFmtId="0" fontId="0" fillId="16" borderId="5" pivotButton="0" quotePrefix="0" xfId="0"/>
    <xf numFmtId="0" fontId="14" fillId="13" borderId="5" applyAlignment="1" pivotButton="0" quotePrefix="0" xfId="0">
      <alignment horizontal="center" vertical="center" wrapText="1"/>
    </xf>
    <xf numFmtId="0" fontId="0" fillId="13" borderId="5" pivotButton="0" quotePrefix="0" xfId="0"/>
    <xf numFmtId="0" fontId="0" fillId="12" borderId="5" pivotButton="0" quotePrefix="0" xfId="0"/>
    <xf numFmtId="0" fontId="16" fillId="14" borderId="5" pivotButton="0" quotePrefix="0" xfId="0"/>
    <xf numFmtId="0" fontId="17" fillId="0" borderId="5" pivotButton="0" quotePrefix="0" xfId="0"/>
    <xf numFmtId="0" fontId="18" fillId="0" borderId="5" applyAlignment="1" pivotButton="0" quotePrefix="0" xfId="0">
      <alignment horizontal="center" vertical="center" wrapText="1"/>
    </xf>
    <xf numFmtId="0" fontId="15" fillId="17" borderId="5" pivotButton="0" quotePrefix="0" xfId="0"/>
    <xf numFmtId="0" fontId="15" fillId="17" borderId="5" applyAlignment="1" pivotButton="0" quotePrefix="0" xfId="0">
      <alignment horizontal="center" vertical="center" wrapText="1"/>
    </xf>
    <xf numFmtId="0" fontId="16" fillId="13" borderId="5" pivotButton="0" quotePrefix="0" xfId="0"/>
    <xf numFmtId="3" fontId="15" fillId="0" borderId="5" pivotButton="0" quotePrefix="0" xfId="0"/>
    <xf numFmtId="0" fontId="16" fillId="16" borderId="5" pivotButton="0" quotePrefix="0" xfId="0"/>
    <xf numFmtId="165" fontId="18" fillId="0" borderId="5" applyAlignment="1" pivotButton="0" quotePrefix="0" xfId="0">
      <alignment horizontal="center" vertical="center" wrapText="1"/>
    </xf>
    <xf numFmtId="168" fontId="15" fillId="0" borderId="5" applyAlignment="1" pivotButton="0" quotePrefix="0" xfId="0">
      <alignment horizontal="center" vertical="center" wrapText="1"/>
    </xf>
    <xf numFmtId="168" fontId="15" fillId="0" borderId="5" pivotButton="0" quotePrefix="0" xfId="0"/>
    <xf numFmtId="0" fontId="17" fillId="0" borderId="5" applyAlignment="1" pivotButton="0" quotePrefix="0" xfId="0">
      <alignment horizontal="center" vertical="center" wrapText="1"/>
    </xf>
    <xf numFmtId="168" fontId="17" fillId="0" borderId="5" applyAlignment="1" pivotButton="0" quotePrefix="0" xfId="0">
      <alignment horizontal="center" vertical="center" wrapText="1"/>
    </xf>
    <xf numFmtId="0" fontId="15" fillId="18" borderId="5" pivotButton="0" quotePrefix="0" xfId="0"/>
    <xf numFmtId="168" fontId="15" fillId="18" borderId="5" applyAlignment="1" pivotButton="0" quotePrefix="0" xfId="0">
      <alignment horizontal="center" vertical="center" wrapText="1"/>
    </xf>
    <xf numFmtId="168" fontId="15" fillId="18" borderId="5" pivotButton="0" quotePrefix="0" xfId="0"/>
    <xf numFmtId="169" fontId="18" fillId="0" borderId="5" applyAlignment="1" pivotButton="0" quotePrefix="0" xfId="0">
      <alignment horizontal="center" vertical="center" wrapText="1"/>
    </xf>
    <xf numFmtId="169" fontId="15" fillId="18" borderId="5" applyAlignment="1" pivotButton="0" quotePrefix="0" xfId="0">
      <alignment horizontal="center" vertical="center" wrapText="1"/>
    </xf>
    <xf numFmtId="169" fontId="19" fillId="18" borderId="5" pivotButton="0" quotePrefix="0" xfId="0"/>
    <xf numFmtId="0" fontId="16" fillId="19" borderId="5" pivotButton="0" quotePrefix="0" xfId="0"/>
    <xf numFmtId="0" fontId="0" fillId="19" borderId="5" pivotButton="0" quotePrefix="0" xfId="0"/>
    <xf numFmtId="169" fontId="17" fillId="0" borderId="5" applyAlignment="1" pivotButton="0" quotePrefix="0" xfId="0">
      <alignment horizontal="center" vertical="center" wrapText="1"/>
    </xf>
    <xf numFmtId="169" fontId="15" fillId="0" borderId="5" pivotButton="0" quotePrefix="0" xfId="0"/>
    <xf numFmtId="0" fontId="15" fillId="20" borderId="5" pivotButton="0" quotePrefix="0" xfId="0"/>
    <xf numFmtId="169" fontId="15" fillId="20" borderId="5" applyAlignment="1" pivotButton="0" quotePrefix="0" xfId="0">
      <alignment horizontal="center" vertical="center" wrapText="1"/>
    </xf>
    <xf numFmtId="169" fontId="19" fillId="20" borderId="5" pivotButton="0" quotePrefix="0" xfId="0"/>
    <xf numFmtId="0" fontId="16" fillId="12" borderId="5" pivotButton="0" quotePrefix="0" xfId="0"/>
    <xf numFmtId="0" fontId="19" fillId="0" borderId="5" pivotButton="0" quotePrefix="0" xfId="0"/>
    <xf numFmtId="170" fontId="19" fillId="0" borderId="5" applyAlignment="1" pivotButton="0" quotePrefix="0" xfId="0">
      <alignment horizontal="center" vertical="center" wrapText="1"/>
    </xf>
    <xf numFmtId="169" fontId="20" fillId="0" borderId="5" pivotButton="0" quotePrefix="0" xfId="0"/>
    <xf numFmtId="165" fontId="17" fillId="0" borderId="5" applyAlignment="1" pivotButton="0" quotePrefix="0" xfId="0">
      <alignment horizontal="center" vertical="center" wrapText="1"/>
    </xf>
    <xf numFmtId="165" fontId="15" fillId="0" borderId="5" pivotButton="0" quotePrefix="0" xfId="0"/>
    <xf numFmtId="170" fontId="15" fillId="0" borderId="5" applyAlignment="1" pivotButton="0" quotePrefix="0" xfId="0">
      <alignment horizontal="center" vertical="center" wrapText="1"/>
    </xf>
    <xf numFmtId="0" fontId="16" fillId="15" borderId="5" pivotButton="0" quotePrefix="0" xfId="0"/>
    <xf numFmtId="169" fontId="15" fillId="0" borderId="5" applyAlignment="1" pivotButton="0" quotePrefix="0" xfId="0">
      <alignment horizontal="center" vertical="center" wrapText="1"/>
    </xf>
    <xf numFmtId="0" fontId="0" fillId="0" borderId="9" pivotButton="0" quotePrefix="0" xfId="0"/>
    <xf numFmtId="0" fontId="0" fillId="0" borderId="8" pivotButton="0" quotePrefix="0" xfId="0"/>
    <xf numFmtId="0" fontId="17" fillId="21" borderId="5" applyAlignment="1" pivotButton="0" quotePrefix="0" xfId="0">
      <alignment horizontal="left" vertical="center" wrapText="1"/>
    </xf>
    <xf numFmtId="0" fontId="17" fillId="22" borderId="5" applyAlignment="1" pivotButton="0" quotePrefix="0" xfId="0">
      <alignment horizontal="left" vertical="center" wrapText="1"/>
    </xf>
    <xf numFmtId="0" fontId="16" fillId="16" borderId="0" pivotButton="0" quotePrefix="0" xfId="0"/>
    <xf numFmtId="0" fontId="0" fillId="16" borderId="0" pivotButton="0" quotePrefix="0" xfId="0"/>
    <xf numFmtId="0" fontId="17" fillId="18" borderId="5" applyAlignment="1" pivotButton="0" quotePrefix="0" xfId="0">
      <alignment horizontal="center" vertical="center" wrapText="1"/>
    </xf>
    <xf numFmtId="0" fontId="17" fillId="22" borderId="5" applyAlignment="1" pivotButton="0" quotePrefix="0" xfId="0">
      <alignment horizontal="center" vertical="center" wrapText="1"/>
    </xf>
    <xf numFmtId="0" fontId="14" fillId="14" borderId="5" applyAlignment="1" pivotButton="0" quotePrefix="0" xfId="0">
      <alignment horizontal="left" vertical="center" wrapText="1"/>
    </xf>
    <xf numFmtId="0" fontId="14" fillId="15" borderId="5" applyAlignment="1" pivotButton="0" quotePrefix="0" xfId="0">
      <alignment horizontal="left" vertical="center" wrapText="1"/>
    </xf>
    <xf numFmtId="0" fontId="14" fillId="23" borderId="5" applyAlignment="1" pivotButton="0" quotePrefix="0" xfId="0">
      <alignment horizontal="left" vertical="center" wrapText="1"/>
    </xf>
    <xf numFmtId="0" fontId="14" fillId="13" borderId="5" applyAlignment="1" pivotButton="0" quotePrefix="0" xfId="0">
      <alignment horizontal="left" vertical="center" wrapText="1"/>
    </xf>
    <xf numFmtId="0" fontId="14" fillId="12" borderId="5" applyAlignment="1" pivotButton="0" quotePrefix="0" xfId="0">
      <alignment horizontal="left" vertical="center" wrapText="1"/>
    </xf>
    <xf numFmtId="0" fontId="21" fillId="24" borderId="5" applyAlignment="1" pivotButton="0" quotePrefix="0" xfId="0">
      <alignment horizontal="left" vertical="center" wrapText="1"/>
    </xf>
    <xf numFmtId="0" fontId="16" fillId="19" borderId="0" pivotButton="0" quotePrefix="0" xfId="0"/>
    <xf numFmtId="0" fontId="0" fillId="19" borderId="0" pivotButton="0" quotePrefix="0" xfId="0"/>
    <xf numFmtId="0" fontId="22" fillId="25" borderId="5" applyAlignment="1" pivotButton="0" quotePrefix="0" xfId="0">
      <alignment horizontal="left" vertical="center" wrapText="1"/>
    </xf>
    <xf numFmtId="0" fontId="13" fillId="26" borderId="0" applyAlignment="1" pivotButton="0" quotePrefix="0" xfId="0">
      <alignment horizontal="center" vertical="center" wrapText="1"/>
    </xf>
    <xf numFmtId="0" fontId="14" fillId="27" borderId="0" applyAlignment="1" pivotButton="0" quotePrefix="0" xfId="0">
      <alignment horizontal="center" vertical="center" wrapText="1"/>
    </xf>
    <xf numFmtId="0" fontId="16" fillId="12" borderId="0" pivotButton="0" quotePrefix="0" xfId="0"/>
    <xf numFmtId="0" fontId="0" fillId="12" borderId="0" pivotButton="0" quotePrefix="0" xfId="0"/>
    <xf numFmtId="0" fontId="0" fillId="21" borderId="5" pivotButton="0" quotePrefix="0" xfId="0"/>
    <xf numFmtId="0" fontId="15" fillId="21" borderId="5" pivotButton="0" quotePrefix="0" xfId="0"/>
    <xf numFmtId="0" fontId="18" fillId="21" borderId="5" applyAlignment="1" pivotButton="0" quotePrefix="0" xfId="0">
      <alignment horizontal="center" vertical="center" wrapText="1"/>
    </xf>
    <xf numFmtId="0" fontId="17" fillId="21" borderId="5" pivotButton="0" quotePrefix="0" xfId="0"/>
    <xf numFmtId="0" fontId="0" fillId="22" borderId="5" pivotButton="0" quotePrefix="0" xfId="0"/>
    <xf numFmtId="0" fontId="15" fillId="22" borderId="5" pivotButton="0" quotePrefix="0" xfId="0"/>
    <xf numFmtId="0" fontId="18" fillId="22" borderId="5" applyAlignment="1" pivotButton="0" quotePrefix="0" xfId="0">
      <alignment horizontal="center" vertical="center" wrapText="1"/>
    </xf>
    <xf numFmtId="0" fontId="17" fillId="22" borderId="5" pivotButton="0" quotePrefix="0" xfId="0"/>
    <xf numFmtId="0" fontId="0" fillId="18" borderId="5" pivotButton="0" quotePrefix="0" xfId="0"/>
    <xf numFmtId="0" fontId="19" fillId="18" borderId="5" pivotButton="0" quotePrefix="0" xfId="0"/>
    <xf numFmtId="0" fontId="23" fillId="18" borderId="5" applyAlignment="1" pivotButton="0" quotePrefix="0" xfId="0">
      <alignment horizontal="center" vertical="center" wrapText="1"/>
    </xf>
    <xf numFmtId="0" fontId="16" fillId="26" borderId="0" pivotButton="0" quotePrefix="0" xfId="0"/>
    <xf numFmtId="0" fontId="0" fillId="26" borderId="0" pivotButton="0" quotePrefix="0" xfId="0"/>
    <xf numFmtId="0" fontId="17" fillId="21" borderId="5" applyAlignment="1" pivotButton="0" quotePrefix="0" xfId="0">
      <alignment horizontal="center" vertical="center" wrapText="1"/>
    </xf>
    <xf numFmtId="0" fontId="19" fillId="18" borderId="5" applyAlignment="1" pivotButton="0" quotePrefix="0" xfId="0">
      <alignment horizontal="center" vertical="center" wrapText="1"/>
    </xf>
    <xf numFmtId="0" fontId="17" fillId="18" borderId="5" pivotButton="0" quotePrefix="0" xfId="0"/>
    <xf numFmtId="0" fontId="16" fillId="14" borderId="0" pivotButton="0" quotePrefix="0" xfId="0"/>
    <xf numFmtId="0" fontId="0" fillId="14" borderId="0" pivotButton="0" quotePrefix="0" xfId="0"/>
    <xf numFmtId="0" fontId="15" fillId="21" borderId="5" applyAlignment="1" pivotButton="0" quotePrefix="0" xfId="0">
      <alignment horizontal="center" vertical="center" wrapText="1"/>
    </xf>
    <xf numFmtId="0" fontId="15" fillId="22" borderId="5" applyAlignment="1" pivotButton="0" quotePrefix="0" xfId="0">
      <alignment horizontal="center" vertical="center" wrapText="1"/>
    </xf>
    <xf numFmtId="0" fontId="24" fillId="18" borderId="5" pivotButton="0" quotePrefix="0" xfId="0"/>
    <xf numFmtId="0" fontId="24" fillId="18" borderId="5" applyAlignment="1" pivotButton="0" quotePrefix="0" xfId="0">
      <alignment horizontal="center" vertical="center" wrapText="1"/>
    </xf>
    <xf numFmtId="0" fontId="25" fillId="28" borderId="5" applyAlignment="1" pivotButton="0" quotePrefix="0" xfId="0">
      <alignment horizontal="left" vertical="center" wrapText="1"/>
    </xf>
    <xf numFmtId="0" fontId="16" fillId="15" borderId="0" pivotButton="0" quotePrefix="0" xfId="0"/>
    <xf numFmtId="0" fontId="0" fillId="15"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9B59B6"/>
      <rgbColor rgb="FF9999FF"/>
      <rgbColor rgb="FF993366"/>
      <rgbColor rgb="FFFFF9C4"/>
      <rgbColor rgb="FFF2F2F2"/>
      <rgbColor rgb="FF660066"/>
      <rgbColor rgb="FFFF8080"/>
      <rgbColor rgb="FF2E5EA0"/>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C"/>
      <rgbColor rgb="FF3366FF"/>
      <rgbColor rgb="FF33CCCC"/>
      <rgbColor rgb="FF99CC00"/>
      <rgbColor rgb="FFFFCC00"/>
      <rgbColor rgb="FFF39C12"/>
      <rgbColor rgb="FFE74C3C"/>
      <rgbColor rgb="FF666666"/>
      <rgbColor rgb="FF969696"/>
      <rgbColor rgb="FF1A3C6E"/>
      <rgbColor rgb="FF27AE6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A3C6E"/>
    <outlinePr summaryBelow="1" summaryRight="1"/>
    <pageSetUpPr fitToPage="0"/>
  </sheetPr>
  <dimension ref="A1:H3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73" min="1" max="9"/>
  </cols>
  <sheetData>
    <row r="1" ht="45" customHeight="1" s="74">
      <c r="A1" s="75" t="inlineStr">
        <is>
          <t>MCA BROKERAGE FINANCIAL MODEL — MFunding.com</t>
        </is>
      </c>
    </row>
    <row r="2" ht="27.75" customHeight="1" s="74">
      <c r="A2" s="76" t="inlineStr">
        <is>
          <t>Key Assumptions &amp; Inputs (Blue values = adjustable inputs)</t>
        </is>
      </c>
    </row>
    <row r="4" ht="27.75" customHeight="1" s="74">
      <c r="A4" s="77" t="inlineStr">
        <is>
          <t>LEAD ACQUISITION COSTS</t>
        </is>
      </c>
    </row>
    <row r="5" ht="15" customHeight="1" s="74">
      <c r="A5" s="78" t="n"/>
      <c r="B5" s="78" t="inlineStr">
        <is>
          <t>Category</t>
        </is>
      </c>
      <c r="C5" s="78" t="inlineStr">
        <is>
          <t>Conservative</t>
        </is>
      </c>
      <c r="D5" s="78" t="inlineStr">
        <is>
          <t>Most Likely</t>
        </is>
      </c>
      <c r="E5" s="78" t="inlineStr">
        <is>
          <t>Optimistic</t>
        </is>
      </c>
      <c r="F5" s="78" t="inlineStr">
        <is>
          <t>Notes</t>
        </is>
      </c>
    </row>
    <row r="6" ht="26.85" customHeight="1" s="74">
      <c r="A6" s="79" t="inlineStr">
        <is>
          <t>1</t>
        </is>
      </c>
      <c r="B6" s="80" t="inlineStr">
        <is>
          <t>Live Transfer Cost (per lead)</t>
        </is>
      </c>
      <c r="C6" s="81" t="n">
        <v>100</v>
      </c>
      <c r="D6" s="81" t="n">
        <v>75</v>
      </c>
      <c r="E6" s="81" t="n">
        <v>50</v>
      </c>
      <c r="F6" s="82" t="inlineStr">
        <is>
          <t>Primary channel — price varies by provider</t>
        </is>
      </c>
    </row>
    <row r="7" ht="26.85" customHeight="1" s="74">
      <c r="A7" s="79" t="inlineStr">
        <is>
          <t>2</t>
        </is>
      </c>
      <c r="B7" s="80" t="inlineStr">
        <is>
          <t>Google Ads Cost Per Lead</t>
        </is>
      </c>
      <c r="C7" s="81" t="n">
        <v>80</v>
      </c>
      <c r="D7" s="81" t="n">
        <v>60</v>
      </c>
      <c r="E7" s="81" t="n">
        <v>40</v>
      </c>
      <c r="F7" s="82" t="inlineStr">
        <is>
          <t>Geo-targeted per city campaigns</t>
        </is>
      </c>
    </row>
    <row r="8" ht="23.85" customHeight="1" s="74">
      <c r="A8" s="79" t="inlineStr">
        <is>
          <t>3</t>
        </is>
      </c>
      <c r="B8" s="80" t="inlineStr">
        <is>
          <t>Live Transfers / Month</t>
        </is>
      </c>
      <c r="C8" s="83" t="n">
        <v>60</v>
      </c>
      <c r="D8" s="83" t="n">
        <v>100</v>
      </c>
      <c r="E8" s="83" t="n">
        <v>150</v>
      </c>
      <c r="F8" s="82" t="inlineStr">
        <is>
          <t>Scale up as pipeline proves out</t>
        </is>
      </c>
    </row>
    <row r="9" ht="26.85" customHeight="1" s="74">
      <c r="A9" s="79" t="inlineStr">
        <is>
          <t>4</t>
        </is>
      </c>
      <c r="B9" s="80" t="inlineStr">
        <is>
          <t>Google Ads Leads / Month</t>
        </is>
      </c>
      <c r="C9" s="83" t="n">
        <v>20</v>
      </c>
      <c r="D9" s="83" t="n">
        <v>40</v>
      </c>
      <c r="E9" s="83" t="n">
        <v>80</v>
      </c>
      <c r="F9" s="82" t="inlineStr">
        <is>
          <t>Starting $50-100/day across cities</t>
        </is>
      </c>
    </row>
    <row r="10" ht="15" customHeight="1" s="74">
      <c r="A10" s="79" t="inlineStr">
        <is>
          <t>5</t>
        </is>
      </c>
      <c r="B10" s="80" t="inlineStr">
        <is>
          <t>Total Leads / Month</t>
        </is>
      </c>
      <c r="C10" s="84">
        <f>C8+C9</f>
        <v/>
      </c>
      <c r="D10" s="84">
        <f>D8+D9</f>
        <v/>
      </c>
      <c r="E10" s="84">
        <f>E8+E9</f>
        <v/>
      </c>
      <c r="F10" s="82" t="inlineStr">
        <is>
          <t>Sum of all lead sources</t>
        </is>
      </c>
    </row>
    <row r="12" ht="15" customHeight="1" s="74">
      <c r="A12" s="77" t="inlineStr">
        <is>
          <t>CONVERSION FUNNEL</t>
        </is>
      </c>
    </row>
    <row r="13" ht="15" customHeight="1" s="74">
      <c r="A13" s="78" t="n"/>
      <c r="B13" s="78" t="inlineStr">
        <is>
          <t>Category</t>
        </is>
      </c>
      <c r="C13" s="78" t="inlineStr">
        <is>
          <t>Conservative</t>
        </is>
      </c>
      <c r="D13" s="78" t="inlineStr">
        <is>
          <t>Most Likely</t>
        </is>
      </c>
      <c r="E13" s="78" t="inlineStr">
        <is>
          <t>Optimistic</t>
        </is>
      </c>
      <c r="F13" s="78" t="inlineStr">
        <is>
          <t>Notes</t>
        </is>
      </c>
    </row>
    <row r="14" ht="26.85" customHeight="1" s="74">
      <c r="A14" s="79" t="inlineStr">
        <is>
          <t>6</t>
        </is>
      </c>
      <c r="B14" s="80" t="inlineStr">
        <is>
          <t>Contact Rate (% of leads reached)</t>
        </is>
      </c>
      <c r="C14" s="85" t="n">
        <v>0.5</v>
      </c>
      <c r="D14" s="85" t="n">
        <v>0.65</v>
      </c>
      <c r="E14" s="85" t="n">
        <v>0.8</v>
      </c>
      <c r="F14" s="82" t="inlineStr">
        <is>
          <t>Live transfers have higher contact rates</t>
        </is>
      </c>
    </row>
    <row r="15" ht="26.85" customHeight="1" s="74">
      <c r="A15" s="79" t="inlineStr">
        <is>
          <t>7</t>
        </is>
      </c>
      <c r="B15" s="80" t="inlineStr">
        <is>
          <t>Application Rate (% of contacted)</t>
        </is>
      </c>
      <c r="C15" s="85" t="n">
        <v>0.25</v>
      </c>
      <c r="D15" s="85" t="n">
        <v>0.35</v>
      </c>
      <c r="E15" s="85" t="n">
        <v>0.45</v>
      </c>
      <c r="F15" s="82" t="inlineStr">
        <is>
          <t>% who submit full app + bank statements</t>
        </is>
      </c>
    </row>
    <row r="16" ht="26.85" customHeight="1" s="74">
      <c r="A16" s="79" t="inlineStr">
        <is>
          <t>8</t>
        </is>
      </c>
      <c r="B16" s="80" t="inlineStr">
        <is>
          <t>Approval Rate (% of applications)</t>
        </is>
      </c>
      <c r="C16" s="85" t="n">
        <v>0.55</v>
      </c>
      <c r="D16" s="85" t="n">
        <v>0.65</v>
      </c>
      <c r="E16" s="85" t="n">
        <v>0.75</v>
      </c>
      <c r="F16" s="82" t="inlineStr">
        <is>
          <t>Depends on lead quality + funder relationships</t>
        </is>
      </c>
    </row>
    <row r="17" ht="26.85" customHeight="1" s="74">
      <c r="A17" s="79" t="inlineStr">
        <is>
          <t>9</t>
        </is>
      </c>
      <c r="B17" s="80" t="inlineStr">
        <is>
          <t>Funding Rate (% of approved)</t>
        </is>
      </c>
      <c r="C17" s="85" t="n">
        <v>0.7</v>
      </c>
      <c r="D17" s="85" t="n">
        <v>0.8</v>
      </c>
      <c r="E17" s="85" t="n">
        <v>0.9</v>
      </c>
      <c r="F17" s="82" t="inlineStr">
        <is>
          <t>% of approved deals that actually fund</t>
        </is>
      </c>
    </row>
    <row r="19" ht="15" customHeight="1" s="74">
      <c r="A19" s="77" t="inlineStr">
        <is>
          <t>DEAL ECONOMICS</t>
        </is>
      </c>
    </row>
    <row r="20" ht="15" customHeight="1" s="74">
      <c r="A20" s="78" t="n"/>
      <c r="B20" s="78" t="inlineStr">
        <is>
          <t>Category</t>
        </is>
      </c>
      <c r="C20" s="78" t="inlineStr">
        <is>
          <t>Conservative</t>
        </is>
      </c>
      <c r="D20" s="78" t="inlineStr">
        <is>
          <t>Most Likely</t>
        </is>
      </c>
      <c r="E20" s="78" t="inlineStr">
        <is>
          <t>Optimistic</t>
        </is>
      </c>
      <c r="F20" s="78" t="inlineStr">
        <is>
          <t>Notes</t>
        </is>
      </c>
    </row>
    <row r="21" ht="26.85" customHeight="1" s="74">
      <c r="A21" s="79" t="inlineStr">
        <is>
          <t>10</t>
        </is>
      </c>
      <c r="B21" s="80" t="inlineStr">
        <is>
          <t>Average Deal Size (funded amount)</t>
        </is>
      </c>
      <c r="C21" s="81" t="n">
        <v>35000</v>
      </c>
      <c r="D21" s="81" t="n">
        <v>50000</v>
      </c>
      <c r="E21" s="81" t="n">
        <v>75000</v>
      </c>
      <c r="F21" s="82" t="inlineStr">
        <is>
          <t>Typical MCA range $10K-$250K</t>
        </is>
      </c>
    </row>
    <row r="22" ht="26.85" customHeight="1" s="74">
      <c r="A22" s="79" t="inlineStr">
        <is>
          <t>11</t>
        </is>
      </c>
      <c r="B22" s="80" t="inlineStr">
        <is>
          <t>Commission Points (% of funded)</t>
        </is>
      </c>
      <c r="C22" s="85" t="n">
        <v>0.06</v>
      </c>
      <c r="D22" s="85" t="n">
        <v>0.08</v>
      </c>
      <c r="E22" s="85" t="n">
        <v>0.1</v>
      </c>
      <c r="F22" s="82" t="inlineStr">
        <is>
          <t>Broker commission: 5-12 points typical</t>
        </is>
      </c>
    </row>
    <row r="23" ht="26.85" customHeight="1" s="74">
      <c r="A23" s="79" t="inlineStr">
        <is>
          <t>12</t>
        </is>
      </c>
      <c r="B23" s="80" t="inlineStr">
        <is>
          <t>Renewal Rate (% come back in 6 mo)</t>
        </is>
      </c>
      <c r="C23" s="85" t="n">
        <v>0.3</v>
      </c>
      <c r="D23" s="85" t="n">
        <v>0.45</v>
      </c>
      <c r="E23" s="85" t="n">
        <v>0.6</v>
      </c>
      <c r="F23" s="82" t="inlineStr">
        <is>
          <t>~60% of MCA clients seek more capital</t>
        </is>
      </c>
    </row>
    <row r="24" ht="26.85" customHeight="1" s="74">
      <c r="A24" s="79" t="inlineStr">
        <is>
          <t>13</t>
        </is>
      </c>
      <c r="B24" s="80" t="inlineStr">
        <is>
          <t>Renewal Commission Points</t>
        </is>
      </c>
      <c r="C24" s="85" t="n">
        <v>0.04</v>
      </c>
      <c r="D24" s="85" t="n">
        <v>0.06</v>
      </c>
      <c r="E24" s="85" t="n">
        <v>0.08</v>
      </c>
      <c r="F24" s="82" t="inlineStr">
        <is>
          <t>Usually slightly lower on renewals</t>
        </is>
      </c>
    </row>
    <row r="26" ht="15" customHeight="1" s="74">
      <c r="A26" s="77" t="inlineStr">
        <is>
          <t>MONTHLY FIXED COSTS</t>
        </is>
      </c>
    </row>
    <row r="27" ht="15" customHeight="1" s="74">
      <c r="A27" s="78" t="n"/>
      <c r="B27" s="78" t="inlineStr">
        <is>
          <t>Expense Item</t>
        </is>
      </c>
      <c r="C27" s="78" t="inlineStr">
        <is>
          <t>Monthly Cost</t>
        </is>
      </c>
      <c r="D27" s="78" t="n"/>
      <c r="E27" s="78" t="n"/>
      <c r="F27" s="78" t="inlineStr">
        <is>
          <t>Notes</t>
        </is>
      </c>
    </row>
    <row r="28" ht="26.85" customHeight="1" s="74">
      <c r="A28" s="79" t="inlineStr">
        <is>
          <t>A</t>
        </is>
      </c>
      <c r="B28" s="80" t="inlineStr">
        <is>
          <t>GoHighLevel (SaaS Pro)</t>
        </is>
      </c>
      <c r="C28" s="81" t="n">
        <v>497</v>
      </c>
      <c r="D28" s="86" t="n"/>
      <c r="E28" s="86" t="n"/>
      <c r="F28" s="82" t="inlineStr">
        <is>
          <t>CRM, landing pages, automation, AI Employee</t>
        </is>
      </c>
    </row>
    <row r="29" ht="26.85" customHeight="1" s="74">
      <c r="A29" s="79" t="inlineStr">
        <is>
          <t>B</t>
        </is>
      </c>
      <c r="B29" s="80" t="inlineStr">
        <is>
          <t>Plaid Integration (or LendSaaS)</t>
        </is>
      </c>
      <c r="C29" s="81" t="n">
        <v>200</v>
      </c>
      <c r="D29" s="86" t="n"/>
      <c r="E29" s="86" t="n"/>
      <c r="F29" s="82" t="inlineStr">
        <is>
          <t>Bank verification API — volume pricing</t>
        </is>
      </c>
    </row>
    <row r="30" ht="23.85" customHeight="1" s="74">
      <c r="A30" s="79" t="inlineStr">
        <is>
          <t>C</t>
        </is>
      </c>
      <c r="B30" s="80" t="inlineStr">
        <is>
          <t>Phone System / Dialer</t>
        </is>
      </c>
      <c r="C30" s="81" t="n">
        <v>150</v>
      </c>
      <c r="D30" s="86" t="n"/>
      <c r="E30" s="86" t="n"/>
      <c r="F30" s="82" t="inlineStr">
        <is>
          <t>For taking live transfers + outbound</t>
        </is>
      </c>
    </row>
    <row r="31" ht="26.85" customHeight="1" s="74">
      <c r="A31" s="79" t="inlineStr">
        <is>
          <t>D</t>
        </is>
      </c>
      <c r="B31" s="80" t="inlineStr">
        <is>
          <t>Website Hosting (mfunding.com)</t>
        </is>
      </c>
      <c r="C31" s="81" t="n">
        <v>50</v>
      </c>
      <c r="D31" s="86" t="n"/>
      <c r="E31" s="86" t="n"/>
      <c r="F31" s="82" t="inlineStr">
        <is>
          <t>React app hosting (Vercel/Netlify)</t>
        </is>
      </c>
    </row>
    <row r="32" ht="26.85" customHeight="1" s="74">
      <c r="A32" s="79" t="inlineStr">
        <is>
          <t>E</t>
        </is>
      </c>
      <c r="B32" s="80" t="inlineStr">
        <is>
          <t>Business Insurance / Compliance</t>
        </is>
      </c>
      <c r="C32" s="81" t="n">
        <v>200</v>
      </c>
      <c r="D32" s="86" t="n"/>
      <c r="E32" s="86" t="n"/>
      <c r="F32" s="82" t="inlineStr">
        <is>
          <t>E&amp;O insurance, state registrations</t>
        </is>
      </c>
    </row>
    <row r="33" ht="26.85" customHeight="1" s="74">
      <c r="A33" s="79" t="inlineStr">
        <is>
          <t>F</t>
        </is>
      </c>
      <c r="B33" s="80" t="inlineStr">
        <is>
          <t>Miscellaneous / Software</t>
        </is>
      </c>
      <c r="C33" s="81" t="n">
        <v>150</v>
      </c>
      <c r="D33" s="86" t="n"/>
      <c r="E33" s="86" t="n"/>
      <c r="F33" s="82" t="inlineStr">
        <is>
          <t>CRM add-ons, email tools, etc.</t>
        </is>
      </c>
    </row>
    <row r="34" ht="15" customHeight="1" s="74">
      <c r="A34" s="87" t="n"/>
      <c r="B34" s="88" t="inlineStr">
        <is>
          <t>TOTAL MONTHLY FIXED COSTS</t>
        </is>
      </c>
      <c r="C34" s="89">
        <f>SUM(C28:C33)</f>
        <v/>
      </c>
      <c r="D34" s="87" t="n"/>
      <c r="E34" s="87" t="n"/>
      <c r="F34" s="87" t="n"/>
    </row>
  </sheetData>
  <mergeCells count="6">
    <mergeCell ref="A12:H12"/>
    <mergeCell ref="A4:H4"/>
    <mergeCell ref="A26:H26"/>
    <mergeCell ref="A2:H2"/>
    <mergeCell ref="A19:H19"/>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7AE60"/>
    <outlinePr summaryBelow="1" summaryRight="1"/>
    <pageSetUpPr fitToPage="0"/>
  </sheetPr>
  <dimension ref="A1:O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73" min="1" max="1"/>
    <col width="32" customWidth="1" style="73" min="2" max="2"/>
    <col width="15" customWidth="1" style="73" min="3" max="14"/>
    <col width="18" customWidth="1" style="73" min="15" max="15"/>
  </cols>
  <sheetData>
    <row r="1" ht="45" customHeight="1" s="74">
      <c r="A1" s="75" t="inlineStr">
        <is>
          <t>12-MONTH PROFIT &amp; LOSS PROJECTION — MOST LIKELY SCENARIO</t>
        </is>
      </c>
    </row>
    <row r="2" ht="15" customHeight="1" s="74">
      <c r="A2" s="76" t="inlineStr">
        <is>
          <t>Based on 'Most Likely' assumptions from Assumptions tab — ramp-up modeled with growth multipliers</t>
        </is>
      </c>
    </row>
    <row r="4" ht="15" customHeight="1" s="74">
      <c r="A4" s="87" t="n"/>
      <c r="B4" s="88" t="n"/>
      <c r="C4" s="90" t="inlineStr">
        <is>
          <t>Month 1</t>
        </is>
      </c>
      <c r="D4" s="90" t="inlineStr">
        <is>
          <t>Month 2</t>
        </is>
      </c>
      <c r="E4" s="90" t="inlineStr">
        <is>
          <t>Month 3</t>
        </is>
      </c>
      <c r="F4" s="90" t="inlineStr">
        <is>
          <t>Month 4</t>
        </is>
      </c>
      <c r="G4" s="90" t="inlineStr">
        <is>
          <t>Month 5</t>
        </is>
      </c>
      <c r="H4" s="90" t="inlineStr">
        <is>
          <t>Month 6</t>
        </is>
      </c>
      <c r="I4" s="90" t="inlineStr">
        <is>
          <t>Month 7</t>
        </is>
      </c>
      <c r="J4" s="90" t="inlineStr">
        <is>
          <t>Month 8</t>
        </is>
      </c>
      <c r="K4" s="90" t="inlineStr">
        <is>
          <t>Month 9</t>
        </is>
      </c>
      <c r="L4" s="90" t="inlineStr">
        <is>
          <t>Month 10</t>
        </is>
      </c>
      <c r="M4" s="90" t="inlineStr">
        <is>
          <t>Month 11</t>
        </is>
      </c>
      <c r="N4" s="90" t="inlineStr">
        <is>
          <t>Month 12</t>
        </is>
      </c>
      <c r="O4" s="90" t="inlineStr">
        <is>
          <t>ANNUAL</t>
        </is>
      </c>
    </row>
    <row r="5" ht="15" customHeight="1" s="74">
      <c r="A5" s="87" t="n"/>
      <c r="B5" s="91" t="inlineStr">
        <is>
          <t>Ramp-Up Multiplier</t>
        </is>
      </c>
      <c r="C5" s="92" t="n">
        <v>0.25</v>
      </c>
      <c r="D5" s="92" t="n">
        <v>0.4</v>
      </c>
      <c r="E5" s="92" t="n">
        <v>0.6</v>
      </c>
      <c r="F5" s="92" t="n">
        <v>0.75</v>
      </c>
      <c r="G5" s="92" t="n">
        <v>0.85</v>
      </c>
      <c r="H5" s="92" t="n">
        <v>1</v>
      </c>
      <c r="I5" s="92" t="n">
        <v>1</v>
      </c>
      <c r="J5" s="92" t="n">
        <v>1.1</v>
      </c>
      <c r="K5" s="92" t="n">
        <v>1.15</v>
      </c>
      <c r="L5" s="92" t="n">
        <v>1.2</v>
      </c>
      <c r="M5" s="92" t="n">
        <v>1.25</v>
      </c>
      <c r="N5" s="92" t="n">
        <v>1.3</v>
      </c>
      <c r="O5" s="87" t="n"/>
    </row>
    <row r="6" ht="15" customHeight="1" s="74">
      <c r="A6" s="87" t="n"/>
      <c r="B6" s="87" t="n"/>
      <c r="C6" s="87" t="n"/>
      <c r="D6" s="87" t="n"/>
      <c r="E6" s="87" t="n"/>
      <c r="F6" s="87" t="n"/>
      <c r="G6" s="87" t="n"/>
      <c r="H6" s="87" t="n"/>
      <c r="I6" s="87" t="n"/>
      <c r="J6" s="87" t="n"/>
      <c r="K6" s="87" t="n"/>
      <c r="L6" s="87" t="n"/>
      <c r="M6" s="87" t="n"/>
      <c r="N6" s="87" t="n"/>
      <c r="O6" s="87" t="n"/>
    </row>
    <row r="7" ht="15" customHeight="1" s="74">
      <c r="A7" s="93" t="inlineStr">
        <is>
          <t>LEAD VOLUME</t>
        </is>
      </c>
      <c r="B7" s="94" t="n"/>
      <c r="C7" s="95" t="n"/>
      <c r="D7" s="95" t="n"/>
      <c r="E7" s="95" t="n"/>
      <c r="F7" s="95" t="n"/>
      <c r="G7" s="95" t="n"/>
      <c r="H7" s="95" t="n"/>
      <c r="I7" s="95" t="n"/>
      <c r="J7" s="95" t="n"/>
      <c r="K7" s="95" t="n"/>
      <c r="L7" s="95" t="n"/>
      <c r="M7" s="95" t="n"/>
      <c r="N7" s="95" t="n"/>
      <c r="O7" s="95" t="n"/>
    </row>
    <row r="8" ht="15" customHeight="1" s="74">
      <c r="A8" s="87" t="n"/>
      <c r="B8" s="96" t="inlineStr">
        <is>
          <t>Live Transfers</t>
        </is>
      </c>
      <c r="C8" s="97">
        <f>Assumptions!D8*C5</f>
        <v/>
      </c>
      <c r="D8" s="97">
        <f>Assumptions!D8*D5</f>
        <v/>
      </c>
      <c r="E8" s="97">
        <f>Assumptions!D8*E5</f>
        <v/>
      </c>
      <c r="F8" s="97">
        <f>Assumptions!D8*F5</f>
        <v/>
      </c>
      <c r="G8" s="97">
        <f>Assumptions!D8*G5</f>
        <v/>
      </c>
      <c r="H8" s="97">
        <f>Assumptions!D8*H5</f>
        <v/>
      </c>
      <c r="I8" s="97">
        <f>Assumptions!D8*I5</f>
        <v/>
      </c>
      <c r="J8" s="97">
        <f>Assumptions!D8*J5</f>
        <v/>
      </c>
      <c r="K8" s="97">
        <f>Assumptions!D8*K5</f>
        <v/>
      </c>
      <c r="L8" s="97">
        <f>Assumptions!D8*L5</f>
        <v/>
      </c>
      <c r="M8" s="97">
        <f>Assumptions!D8*M5</f>
        <v/>
      </c>
      <c r="N8" s="97">
        <f>Assumptions!D8*N5</f>
        <v/>
      </c>
      <c r="O8" s="98">
        <f>SUM(C8:N8)</f>
        <v/>
      </c>
    </row>
    <row r="9" ht="15" customHeight="1" s="74">
      <c r="A9" s="87" t="n"/>
      <c r="B9" s="96" t="inlineStr">
        <is>
          <t>Google Ads Leads</t>
        </is>
      </c>
      <c r="C9" s="97">
        <f>Assumptions!D9*C5</f>
        <v/>
      </c>
      <c r="D9" s="97">
        <f>Assumptions!D9*D5</f>
        <v/>
      </c>
      <c r="E9" s="97">
        <f>Assumptions!D9*E5</f>
        <v/>
      </c>
      <c r="F9" s="97">
        <f>Assumptions!D9*F5</f>
        <v/>
      </c>
      <c r="G9" s="97">
        <f>Assumptions!D9*G5</f>
        <v/>
      </c>
      <c r="H9" s="97">
        <f>Assumptions!D9*H5</f>
        <v/>
      </c>
      <c r="I9" s="97">
        <f>Assumptions!D9*I5</f>
        <v/>
      </c>
      <c r="J9" s="97">
        <f>Assumptions!D9*J5</f>
        <v/>
      </c>
      <c r="K9" s="97">
        <f>Assumptions!D9*K5</f>
        <v/>
      </c>
      <c r="L9" s="97">
        <f>Assumptions!D9*L5</f>
        <v/>
      </c>
      <c r="M9" s="97">
        <f>Assumptions!D9*M5</f>
        <v/>
      </c>
      <c r="N9" s="97">
        <f>Assumptions!D9*N5</f>
        <v/>
      </c>
      <c r="O9" s="98">
        <f>SUM(C9:N9)</f>
        <v/>
      </c>
    </row>
    <row r="10" ht="15" customHeight="1" s="74">
      <c r="A10" s="87" t="n"/>
      <c r="B10" s="99" t="inlineStr">
        <is>
          <t>Total Leads</t>
        </is>
      </c>
      <c r="C10" s="100">
        <f>C8+C9</f>
        <v/>
      </c>
      <c r="D10" s="100">
        <f>D8+D9</f>
        <v/>
      </c>
      <c r="E10" s="100">
        <f>E8+E9</f>
        <v/>
      </c>
      <c r="F10" s="100">
        <f>F8+F9</f>
        <v/>
      </c>
      <c r="G10" s="100">
        <f>G8+G9</f>
        <v/>
      </c>
      <c r="H10" s="100">
        <f>H8+H9</f>
        <v/>
      </c>
      <c r="I10" s="100">
        <f>I8+I9</f>
        <v/>
      </c>
      <c r="J10" s="100">
        <f>J8+J9</f>
        <v/>
      </c>
      <c r="K10" s="100">
        <f>K8+K9</f>
        <v/>
      </c>
      <c r="L10" s="100">
        <f>L8+L9</f>
        <v/>
      </c>
      <c r="M10" s="100">
        <f>M8+M9</f>
        <v/>
      </c>
      <c r="N10" s="100">
        <f>N8+N9</f>
        <v/>
      </c>
      <c r="O10" s="100">
        <f>O8+O9</f>
        <v/>
      </c>
    </row>
    <row r="11" ht="15" customHeight="1" s="74">
      <c r="A11" s="87" t="n"/>
      <c r="B11" s="87" t="n"/>
      <c r="C11" s="87" t="n"/>
      <c r="D11" s="87" t="n"/>
      <c r="E11" s="87" t="n"/>
      <c r="F11" s="87" t="n"/>
      <c r="G11" s="87" t="n"/>
      <c r="H11" s="87" t="n"/>
      <c r="I11" s="87" t="n"/>
      <c r="J11" s="87" t="n"/>
      <c r="K11" s="87" t="n"/>
      <c r="L11" s="87" t="n"/>
      <c r="M11" s="87" t="n"/>
      <c r="N11" s="87" t="n"/>
      <c r="O11" s="87" t="n"/>
    </row>
    <row r="12" ht="15" customHeight="1" s="74">
      <c r="A12" s="93" t="inlineStr">
        <is>
          <t>CONVERSION FUNNEL</t>
        </is>
      </c>
      <c r="B12" s="94" t="n"/>
      <c r="C12" s="95" t="n"/>
      <c r="D12" s="95" t="n"/>
      <c r="E12" s="95" t="n"/>
      <c r="F12" s="95" t="n"/>
      <c r="G12" s="95" t="n"/>
      <c r="H12" s="95" t="n"/>
      <c r="I12" s="95" t="n"/>
      <c r="J12" s="95" t="n"/>
      <c r="K12" s="95" t="n"/>
      <c r="L12" s="95" t="n"/>
      <c r="M12" s="95" t="n"/>
      <c r="N12" s="95" t="n"/>
      <c r="O12" s="95" t="n"/>
    </row>
    <row r="13" ht="15" customHeight="1" s="74">
      <c r="A13" s="87" t="n"/>
      <c r="B13" s="96" t="inlineStr">
        <is>
          <t>Leads Contacted</t>
        </is>
      </c>
      <c r="C13" s="97">
        <f>C10*Assumptions!D14</f>
        <v/>
      </c>
      <c r="D13" s="97">
        <f>D10*Assumptions!D14</f>
        <v/>
      </c>
      <c r="E13" s="97">
        <f>E10*Assumptions!D14</f>
        <v/>
      </c>
      <c r="F13" s="97">
        <f>F10*Assumptions!D14</f>
        <v/>
      </c>
      <c r="G13" s="97">
        <f>G10*Assumptions!D14</f>
        <v/>
      </c>
      <c r="H13" s="97">
        <f>H10*Assumptions!D14</f>
        <v/>
      </c>
      <c r="I13" s="97">
        <f>I10*Assumptions!D14</f>
        <v/>
      </c>
      <c r="J13" s="97">
        <f>J10*Assumptions!D14</f>
        <v/>
      </c>
      <c r="K13" s="97">
        <f>K10*Assumptions!D14</f>
        <v/>
      </c>
      <c r="L13" s="97">
        <f>L10*Assumptions!D14</f>
        <v/>
      </c>
      <c r="M13" s="97">
        <f>M10*Assumptions!D14</f>
        <v/>
      </c>
      <c r="N13" s="97">
        <f>N10*Assumptions!D14</f>
        <v/>
      </c>
      <c r="O13" s="98">
        <f>SUM(C13:N13)</f>
        <v/>
      </c>
    </row>
    <row r="14" ht="15" customHeight="1" s="74">
      <c r="A14" s="87" t="n"/>
      <c r="B14" s="96" t="inlineStr">
        <is>
          <t>Applications Submitted</t>
        </is>
      </c>
      <c r="C14" s="97">
        <f>C13*Assumptions!D15</f>
        <v/>
      </c>
      <c r="D14" s="97">
        <f>D13*Assumptions!D15</f>
        <v/>
      </c>
      <c r="E14" s="97">
        <f>E13*Assumptions!D15</f>
        <v/>
      </c>
      <c r="F14" s="97">
        <f>F13*Assumptions!D15</f>
        <v/>
      </c>
      <c r="G14" s="97">
        <f>G13*Assumptions!D15</f>
        <v/>
      </c>
      <c r="H14" s="97">
        <f>H13*Assumptions!D15</f>
        <v/>
      </c>
      <c r="I14" s="97">
        <f>I13*Assumptions!D15</f>
        <v/>
      </c>
      <c r="J14" s="97">
        <f>J13*Assumptions!D15</f>
        <v/>
      </c>
      <c r="K14" s="97">
        <f>K13*Assumptions!D15</f>
        <v/>
      </c>
      <c r="L14" s="97">
        <f>L13*Assumptions!D15</f>
        <v/>
      </c>
      <c r="M14" s="97">
        <f>M13*Assumptions!D15</f>
        <v/>
      </c>
      <c r="N14" s="97">
        <f>N13*Assumptions!D15</f>
        <v/>
      </c>
      <c r="O14" s="98">
        <f>SUM(C14:N14)</f>
        <v/>
      </c>
    </row>
    <row r="15" ht="15" customHeight="1" s="74">
      <c r="A15" s="87" t="n"/>
      <c r="B15" s="96" t="inlineStr">
        <is>
          <t>Deals Approved</t>
        </is>
      </c>
      <c r="C15" s="97">
        <f>C14*Assumptions!D16</f>
        <v/>
      </c>
      <c r="D15" s="97">
        <f>D14*Assumptions!D16</f>
        <v/>
      </c>
      <c r="E15" s="97">
        <f>E14*Assumptions!D16</f>
        <v/>
      </c>
      <c r="F15" s="97">
        <f>F14*Assumptions!D16</f>
        <v/>
      </c>
      <c r="G15" s="97">
        <f>G14*Assumptions!D16</f>
        <v/>
      </c>
      <c r="H15" s="97">
        <f>H14*Assumptions!D16</f>
        <v/>
      </c>
      <c r="I15" s="97">
        <f>I14*Assumptions!D16</f>
        <v/>
      </c>
      <c r="J15" s="97">
        <f>J14*Assumptions!D16</f>
        <v/>
      </c>
      <c r="K15" s="97">
        <f>K14*Assumptions!D16</f>
        <v/>
      </c>
      <c r="L15" s="97">
        <f>L14*Assumptions!D16</f>
        <v/>
      </c>
      <c r="M15" s="97">
        <f>M14*Assumptions!D16</f>
        <v/>
      </c>
      <c r="N15" s="97">
        <f>N14*Assumptions!D16</f>
        <v/>
      </c>
      <c r="O15" s="98">
        <f>SUM(C15:N15)</f>
        <v/>
      </c>
    </row>
    <row r="16" ht="15" customHeight="1" s="74">
      <c r="A16" s="87" t="n"/>
      <c r="B16" s="101" t="inlineStr">
        <is>
          <t>Deals Funded (New)</t>
        </is>
      </c>
      <c r="C16" s="102">
        <f>C15*Assumptions!D17</f>
        <v/>
      </c>
      <c r="D16" s="102">
        <f>D15*Assumptions!D17</f>
        <v/>
      </c>
      <c r="E16" s="102">
        <f>E15*Assumptions!D17</f>
        <v/>
      </c>
      <c r="F16" s="102">
        <f>F15*Assumptions!D17</f>
        <v/>
      </c>
      <c r="G16" s="102">
        <f>G15*Assumptions!D17</f>
        <v/>
      </c>
      <c r="H16" s="102">
        <f>H15*Assumptions!D17</f>
        <v/>
      </c>
      <c r="I16" s="102">
        <f>I15*Assumptions!D17</f>
        <v/>
      </c>
      <c r="J16" s="102">
        <f>J15*Assumptions!D17</f>
        <v/>
      </c>
      <c r="K16" s="102">
        <f>K15*Assumptions!D17</f>
        <v/>
      </c>
      <c r="L16" s="102">
        <f>L15*Assumptions!D17</f>
        <v/>
      </c>
      <c r="M16" s="102">
        <f>M15*Assumptions!D17</f>
        <v/>
      </c>
      <c r="N16" s="102">
        <f>N15*Assumptions!D17</f>
        <v/>
      </c>
      <c r="O16" s="103">
        <f>SUM(C16:N16)</f>
        <v/>
      </c>
    </row>
    <row r="17" ht="15" customHeight="1" s="74">
      <c r="A17" s="87" t="n"/>
      <c r="B17" s="104" t="inlineStr">
        <is>
          <t>Renewal Deals</t>
        </is>
      </c>
      <c r="C17" s="105" t="n">
        <v>0</v>
      </c>
      <c r="D17" s="105" t="n">
        <v>0</v>
      </c>
      <c r="E17" s="105" t="n">
        <v>0</v>
      </c>
      <c r="F17" s="105" t="n">
        <v>0</v>
      </c>
      <c r="G17" s="105" t="n">
        <v>0</v>
      </c>
      <c r="H17" s="105" t="n">
        <v>0</v>
      </c>
      <c r="I17" s="105">
        <f>C16*Assumptions!D23</f>
        <v/>
      </c>
      <c r="J17" s="105">
        <f>D16*Assumptions!D23</f>
        <v/>
      </c>
      <c r="K17" s="105">
        <f>E16*Assumptions!D23</f>
        <v/>
      </c>
      <c r="L17" s="105">
        <f>F16*Assumptions!D23</f>
        <v/>
      </c>
      <c r="M17" s="105">
        <f>G16*Assumptions!D23</f>
        <v/>
      </c>
      <c r="N17" s="105">
        <f>H16*Assumptions!D23</f>
        <v/>
      </c>
      <c r="O17" s="103">
        <f>SUM(C17:N17)</f>
        <v/>
      </c>
    </row>
    <row r="18" ht="15" customHeight="1" s="74">
      <c r="A18" s="87" t="n"/>
      <c r="B18" s="87" t="n"/>
      <c r="C18" s="87" t="n"/>
      <c r="D18" s="87" t="n"/>
      <c r="E18" s="87" t="n"/>
      <c r="F18" s="87" t="n"/>
      <c r="G18" s="87" t="n"/>
      <c r="H18" s="87" t="n"/>
      <c r="I18" s="87" t="n"/>
      <c r="J18" s="87" t="n"/>
      <c r="K18" s="87" t="n"/>
      <c r="L18" s="87" t="n"/>
      <c r="M18" s="87" t="n"/>
      <c r="N18" s="87" t="n"/>
      <c r="O18" s="87" t="n"/>
    </row>
    <row r="19" ht="15" customHeight="1" s="74">
      <c r="A19" s="106" t="inlineStr">
        <is>
          <t>REVENUE</t>
        </is>
      </c>
      <c r="B19" s="94" t="n"/>
      <c r="C19" s="107" t="n"/>
      <c r="D19" s="107" t="n"/>
      <c r="E19" s="107" t="n"/>
      <c r="F19" s="107" t="n"/>
      <c r="G19" s="107" t="n"/>
      <c r="H19" s="107" t="n"/>
      <c r="I19" s="107" t="n"/>
      <c r="J19" s="107" t="n"/>
      <c r="K19" s="107" t="n"/>
      <c r="L19" s="107" t="n"/>
      <c r="M19" s="107" t="n"/>
      <c r="N19" s="107" t="n"/>
      <c r="O19" s="107" t="n"/>
    </row>
    <row r="20" ht="15" customHeight="1" s="74">
      <c r="A20" s="87" t="n"/>
      <c r="B20" s="96" t="inlineStr">
        <is>
          <t>New Deal Commission</t>
        </is>
      </c>
      <c r="C20" s="108">
        <f>C16*Assumptions!D21*Assumptions!D22</f>
        <v/>
      </c>
      <c r="D20" s="108">
        <f>D16*Assumptions!D21*Assumptions!D22</f>
        <v/>
      </c>
      <c r="E20" s="108">
        <f>E16*Assumptions!D21*Assumptions!D22</f>
        <v/>
      </c>
      <c r="F20" s="108">
        <f>F16*Assumptions!D21*Assumptions!D22</f>
        <v/>
      </c>
      <c r="G20" s="108">
        <f>G16*Assumptions!D21*Assumptions!D22</f>
        <v/>
      </c>
      <c r="H20" s="108">
        <f>H16*Assumptions!D21*Assumptions!D22</f>
        <v/>
      </c>
      <c r="I20" s="108">
        <f>I16*Assumptions!D21*Assumptions!D22</f>
        <v/>
      </c>
      <c r="J20" s="108">
        <f>J16*Assumptions!D21*Assumptions!D22</f>
        <v/>
      </c>
      <c r="K20" s="108">
        <f>K16*Assumptions!D21*Assumptions!D22</f>
        <v/>
      </c>
      <c r="L20" s="108">
        <f>L16*Assumptions!D21*Assumptions!D22</f>
        <v/>
      </c>
      <c r="M20" s="108">
        <f>M16*Assumptions!D21*Assumptions!D22</f>
        <v/>
      </c>
      <c r="N20" s="108">
        <f>N16*Assumptions!D21*Assumptions!D22</f>
        <v/>
      </c>
      <c r="O20" s="109">
        <f>SUM(C20:N20)</f>
        <v/>
      </c>
    </row>
    <row r="21" ht="15" customHeight="1" s="74">
      <c r="A21" s="87" t="n"/>
      <c r="B21" s="96" t="inlineStr">
        <is>
          <t>Renewal Commission</t>
        </is>
      </c>
      <c r="C21" s="108">
        <f>C17*Assumptions!D21*Assumptions!D24</f>
        <v/>
      </c>
      <c r="D21" s="108">
        <f>D17*Assumptions!D21*Assumptions!D24</f>
        <v/>
      </c>
      <c r="E21" s="108">
        <f>E17*Assumptions!D21*Assumptions!D24</f>
        <v/>
      </c>
      <c r="F21" s="108">
        <f>F17*Assumptions!D21*Assumptions!D24</f>
        <v/>
      </c>
      <c r="G21" s="108">
        <f>G17*Assumptions!D21*Assumptions!D24</f>
        <v/>
      </c>
      <c r="H21" s="108">
        <f>H17*Assumptions!D21*Assumptions!D24</f>
        <v/>
      </c>
      <c r="I21" s="108">
        <f>I17*Assumptions!D21*Assumptions!D24</f>
        <v/>
      </c>
      <c r="J21" s="108">
        <f>J17*Assumptions!D21*Assumptions!D24</f>
        <v/>
      </c>
      <c r="K21" s="108">
        <f>K17*Assumptions!D21*Assumptions!D24</f>
        <v/>
      </c>
      <c r="L21" s="108">
        <f>L17*Assumptions!D21*Assumptions!D24</f>
        <v/>
      </c>
      <c r="M21" s="108">
        <f>M17*Assumptions!D21*Assumptions!D24</f>
        <v/>
      </c>
      <c r="N21" s="108">
        <f>N17*Assumptions!D21*Assumptions!D24</f>
        <v/>
      </c>
      <c r="O21" s="109">
        <f>SUM(C21:N21)</f>
        <v/>
      </c>
    </row>
    <row r="22" ht="15" customHeight="1" s="74">
      <c r="A22" s="87" t="n"/>
      <c r="B22" s="101" t="inlineStr">
        <is>
          <t>TOTAL REVENUE</t>
        </is>
      </c>
      <c r="C22" s="110">
        <f>C20+C21</f>
        <v/>
      </c>
      <c r="D22" s="110">
        <f>D20+D21</f>
        <v/>
      </c>
      <c r="E22" s="110">
        <f>E20+E21</f>
        <v/>
      </c>
      <c r="F22" s="110">
        <f>F20+F21</f>
        <v/>
      </c>
      <c r="G22" s="110">
        <f>G20+G21</f>
        <v/>
      </c>
      <c r="H22" s="110">
        <f>H20+H21</f>
        <v/>
      </c>
      <c r="I22" s="110">
        <f>I20+I21</f>
        <v/>
      </c>
      <c r="J22" s="110">
        <f>J20+J21</f>
        <v/>
      </c>
      <c r="K22" s="110">
        <f>K20+K21</f>
        <v/>
      </c>
      <c r="L22" s="110">
        <f>L20+L21</f>
        <v/>
      </c>
      <c r="M22" s="110">
        <f>M20+M21</f>
        <v/>
      </c>
      <c r="N22" s="110">
        <f>N20+N21</f>
        <v/>
      </c>
      <c r="O22" s="110">
        <f>O20+O21</f>
        <v/>
      </c>
    </row>
    <row r="23" ht="15" customHeight="1" s="74">
      <c r="A23" s="87" t="n"/>
      <c r="B23" s="87" t="n"/>
      <c r="C23" s="87" t="n"/>
      <c r="D23" s="87" t="n"/>
      <c r="E23" s="87" t="n"/>
      <c r="F23" s="87" t="n"/>
      <c r="G23" s="87" t="n"/>
      <c r="H23" s="87" t="n"/>
      <c r="I23" s="87" t="n"/>
      <c r="J23" s="87" t="n"/>
      <c r="K23" s="87" t="n"/>
      <c r="L23" s="87" t="n"/>
      <c r="M23" s="87" t="n"/>
      <c r="N23" s="87" t="n"/>
      <c r="O23" s="87" t="n"/>
    </row>
    <row r="24" ht="15" customHeight="1" s="74">
      <c r="A24" s="111" t="inlineStr">
        <is>
          <t>EXPENSES</t>
        </is>
      </c>
      <c r="B24" s="94" t="n"/>
      <c r="C24" s="112" t="n"/>
      <c r="D24" s="112" t="n"/>
      <c r="E24" s="112" t="n"/>
      <c r="F24" s="112" t="n"/>
      <c r="G24" s="112" t="n"/>
      <c r="H24" s="112" t="n"/>
      <c r="I24" s="112" t="n"/>
      <c r="J24" s="112" t="n"/>
      <c r="K24" s="112" t="n"/>
      <c r="L24" s="112" t="n"/>
      <c r="M24" s="112" t="n"/>
      <c r="N24" s="112" t="n"/>
      <c r="O24" s="112" t="n"/>
    </row>
    <row r="25" ht="15" customHeight="1" s="74">
      <c r="A25" s="87" t="n"/>
      <c r="B25" s="96" t="inlineStr">
        <is>
          <t>Live Transfer Spend</t>
        </is>
      </c>
      <c r="C25" s="108">
        <f>C8*Assumptions!D6</f>
        <v/>
      </c>
      <c r="D25" s="108">
        <f>D8*Assumptions!D6</f>
        <v/>
      </c>
      <c r="E25" s="108">
        <f>E8*Assumptions!D6</f>
        <v/>
      </c>
      <c r="F25" s="108">
        <f>F8*Assumptions!D6</f>
        <v/>
      </c>
      <c r="G25" s="108">
        <f>G8*Assumptions!D6</f>
        <v/>
      </c>
      <c r="H25" s="108">
        <f>H8*Assumptions!D6</f>
        <v/>
      </c>
      <c r="I25" s="108">
        <f>I8*Assumptions!D6</f>
        <v/>
      </c>
      <c r="J25" s="108">
        <f>J8*Assumptions!D6</f>
        <v/>
      </c>
      <c r="K25" s="108">
        <f>K8*Assumptions!D6</f>
        <v/>
      </c>
      <c r="L25" s="108">
        <f>L8*Assumptions!D6</f>
        <v/>
      </c>
      <c r="M25" s="108">
        <f>M8*Assumptions!D6</f>
        <v/>
      </c>
      <c r="N25" s="108">
        <f>N8*Assumptions!D6</f>
        <v/>
      </c>
      <c r="O25" s="109">
        <f>SUM(C25:N25)</f>
        <v/>
      </c>
    </row>
    <row r="26" ht="15" customHeight="1" s="74">
      <c r="A26" s="87" t="n"/>
      <c r="B26" s="96" t="inlineStr">
        <is>
          <t>Google Ads Spend</t>
        </is>
      </c>
      <c r="C26" s="108">
        <f>C9*Assumptions!D7</f>
        <v/>
      </c>
      <c r="D26" s="108">
        <f>D9*Assumptions!D7</f>
        <v/>
      </c>
      <c r="E26" s="108">
        <f>E9*Assumptions!D7</f>
        <v/>
      </c>
      <c r="F26" s="108">
        <f>F9*Assumptions!D7</f>
        <v/>
      </c>
      <c r="G26" s="108">
        <f>G9*Assumptions!D7</f>
        <v/>
      </c>
      <c r="H26" s="108">
        <f>H9*Assumptions!D7</f>
        <v/>
      </c>
      <c r="I26" s="108">
        <f>I9*Assumptions!D7</f>
        <v/>
      </c>
      <c r="J26" s="108">
        <f>J9*Assumptions!D7</f>
        <v/>
      </c>
      <c r="K26" s="108">
        <f>K9*Assumptions!D7</f>
        <v/>
      </c>
      <c r="L26" s="108">
        <f>L9*Assumptions!D7</f>
        <v/>
      </c>
      <c r="M26" s="108">
        <f>M9*Assumptions!D7</f>
        <v/>
      </c>
      <c r="N26" s="108">
        <f>N9*Assumptions!D7</f>
        <v/>
      </c>
      <c r="O26" s="109">
        <f>SUM(C26:N26)</f>
        <v/>
      </c>
    </row>
    <row r="27" ht="15" customHeight="1" s="74">
      <c r="A27" s="87" t="n"/>
      <c r="B27" s="88" t="inlineStr">
        <is>
          <t>Total Lead Acquisition Cost</t>
        </is>
      </c>
      <c r="C27" s="113">
        <f>C25+C26</f>
        <v/>
      </c>
      <c r="D27" s="113">
        <f>D25+D26</f>
        <v/>
      </c>
      <c r="E27" s="113">
        <f>E25+E26</f>
        <v/>
      </c>
      <c r="F27" s="113">
        <f>F25+F26</f>
        <v/>
      </c>
      <c r="G27" s="113">
        <f>G25+G26</f>
        <v/>
      </c>
      <c r="H27" s="113">
        <f>H25+H26</f>
        <v/>
      </c>
      <c r="I27" s="113">
        <f>I25+I26</f>
        <v/>
      </c>
      <c r="J27" s="113">
        <f>J25+J26</f>
        <v/>
      </c>
      <c r="K27" s="113">
        <f>K25+K26</f>
        <v/>
      </c>
      <c r="L27" s="113">
        <f>L25+L26</f>
        <v/>
      </c>
      <c r="M27" s="113">
        <f>M25+M26</f>
        <v/>
      </c>
      <c r="N27" s="113">
        <f>N25+N26</f>
        <v/>
      </c>
      <c r="O27" s="113">
        <f>O25+O26</f>
        <v/>
      </c>
    </row>
    <row r="28" ht="15" customHeight="1" s="74">
      <c r="A28" s="87" t="n"/>
      <c r="B28" s="96" t="inlineStr">
        <is>
          <t>Fixed Costs (from Assumptions)</t>
        </is>
      </c>
      <c r="C28" s="108">
        <f>Assumptions!C34</f>
        <v/>
      </c>
      <c r="D28" s="108">
        <f>Assumptions!C34</f>
        <v/>
      </c>
      <c r="E28" s="108">
        <f>Assumptions!C34</f>
        <v/>
      </c>
      <c r="F28" s="108">
        <f>Assumptions!C34</f>
        <v/>
      </c>
      <c r="G28" s="108">
        <f>Assumptions!C34</f>
        <v/>
      </c>
      <c r="H28" s="108">
        <f>Assumptions!C34</f>
        <v/>
      </c>
      <c r="I28" s="108">
        <f>Assumptions!C34</f>
        <v/>
      </c>
      <c r="J28" s="108">
        <f>Assumptions!C34</f>
        <v/>
      </c>
      <c r="K28" s="108">
        <f>Assumptions!C34</f>
        <v/>
      </c>
      <c r="L28" s="108">
        <f>Assumptions!C34</f>
        <v/>
      </c>
      <c r="M28" s="108">
        <f>Assumptions!C34</f>
        <v/>
      </c>
      <c r="N28" s="108">
        <f>Assumptions!C34</f>
        <v/>
      </c>
      <c r="O28" s="109">
        <f>SUM(C28:N28)</f>
        <v/>
      </c>
    </row>
    <row r="29" ht="15" customHeight="1" s="74">
      <c r="A29" s="87" t="n"/>
      <c r="B29" s="114" t="inlineStr">
        <is>
          <t>TOTAL EXPENSES</t>
        </is>
      </c>
      <c r="C29" s="115">
        <f>C27+C28</f>
        <v/>
      </c>
      <c r="D29" s="115">
        <f>D27+D28</f>
        <v/>
      </c>
      <c r="E29" s="115">
        <f>E27+E28</f>
        <v/>
      </c>
      <c r="F29" s="115">
        <f>F27+F28</f>
        <v/>
      </c>
      <c r="G29" s="115">
        <f>G27+G28</f>
        <v/>
      </c>
      <c r="H29" s="115">
        <f>H27+H28</f>
        <v/>
      </c>
      <c r="I29" s="115">
        <f>I27+I28</f>
        <v/>
      </c>
      <c r="J29" s="115">
        <f>J27+J28</f>
        <v/>
      </c>
      <c r="K29" s="115">
        <f>K27+K28</f>
        <v/>
      </c>
      <c r="L29" s="115">
        <f>L27+L28</f>
        <v/>
      </c>
      <c r="M29" s="115">
        <f>M27+M28</f>
        <v/>
      </c>
      <c r="N29" s="115">
        <f>N27+N28</f>
        <v/>
      </c>
      <c r="O29" s="115">
        <f>O27+O28</f>
        <v/>
      </c>
    </row>
    <row r="30" ht="15" customHeight="1" s="74">
      <c r="A30" s="87" t="n"/>
      <c r="B30" s="87" t="n"/>
      <c r="C30" s="87" t="n"/>
      <c r="D30" s="87" t="n"/>
      <c r="E30" s="87" t="n"/>
      <c r="F30" s="87" t="n"/>
      <c r="G30" s="87" t="n"/>
      <c r="H30" s="87" t="n"/>
      <c r="I30" s="87" t="n"/>
      <c r="J30" s="87" t="n"/>
      <c r="K30" s="87" t="n"/>
      <c r="L30" s="87" t="n"/>
      <c r="M30" s="87" t="n"/>
      <c r="N30" s="87" t="n"/>
      <c r="O30" s="87" t="n"/>
    </row>
    <row r="31" ht="15" customHeight="1" s="74">
      <c r="A31" s="116" t="inlineStr">
        <is>
          <t>BOTTOM LINE</t>
        </is>
      </c>
      <c r="B31" s="94" t="n"/>
      <c r="C31" s="117" t="n"/>
      <c r="D31" s="117" t="n"/>
      <c r="E31" s="117" t="n"/>
      <c r="F31" s="117" t="n"/>
      <c r="G31" s="117" t="n"/>
      <c r="H31" s="117" t="n"/>
      <c r="I31" s="117" t="n"/>
      <c r="J31" s="117" t="n"/>
      <c r="K31" s="117" t="n"/>
      <c r="L31" s="117" t="n"/>
      <c r="M31" s="117" t="n"/>
      <c r="N31" s="117" t="n"/>
      <c r="O31" s="117" t="n"/>
    </row>
    <row r="32" ht="15" customHeight="1" s="74">
      <c r="A32" s="87" t="n"/>
      <c r="B32" s="88" t="inlineStr">
        <is>
          <t>NET PROFIT / (LOSS)</t>
        </is>
      </c>
      <c r="C32" s="118">
        <f>C22-C29</f>
        <v/>
      </c>
      <c r="D32" s="118">
        <f>D22-D29</f>
        <v/>
      </c>
      <c r="E32" s="118">
        <f>E22-E29</f>
        <v/>
      </c>
      <c r="F32" s="118">
        <f>F22-F29</f>
        <v/>
      </c>
      <c r="G32" s="118">
        <f>G22-G29</f>
        <v/>
      </c>
      <c r="H32" s="118">
        <f>H22-H29</f>
        <v/>
      </c>
      <c r="I32" s="118">
        <f>I22-I29</f>
        <v/>
      </c>
      <c r="J32" s="118">
        <f>J22-J29</f>
        <v/>
      </c>
      <c r="K32" s="118">
        <f>K22-K29</f>
        <v/>
      </c>
      <c r="L32" s="118">
        <f>L22-L29</f>
        <v/>
      </c>
      <c r="M32" s="118">
        <f>M22-M29</f>
        <v/>
      </c>
      <c r="N32" s="118">
        <f>N22-N29</f>
        <v/>
      </c>
      <c r="O32" s="118">
        <f>O22-O29</f>
        <v/>
      </c>
    </row>
    <row r="33" ht="15" customHeight="1" s="74">
      <c r="A33" s="87" t="n"/>
      <c r="B33" s="96" t="inlineStr">
        <is>
          <t>Profit Margin</t>
        </is>
      </c>
      <c r="C33" s="119">
        <f>IF(C22=0,0,C32/C22)</f>
        <v/>
      </c>
      <c r="D33" s="119">
        <f>IF(D22=0,0,D32/D22)</f>
        <v/>
      </c>
      <c r="E33" s="119">
        <f>IF(E22=0,0,E32/E22)</f>
        <v/>
      </c>
      <c r="F33" s="119">
        <f>IF(F22=0,0,F32/F22)</f>
        <v/>
      </c>
      <c r="G33" s="119">
        <f>IF(G22=0,0,G32/G22)</f>
        <v/>
      </c>
      <c r="H33" s="119">
        <f>IF(H22=0,0,H32/H22)</f>
        <v/>
      </c>
      <c r="I33" s="119">
        <f>IF(I22=0,0,I32/I22)</f>
        <v/>
      </c>
      <c r="J33" s="119">
        <f>IF(J22=0,0,J32/J22)</f>
        <v/>
      </c>
      <c r="K33" s="119">
        <f>IF(K22=0,0,K32/K22)</f>
        <v/>
      </c>
      <c r="L33" s="119">
        <f>IF(L22=0,0,L32/L22)</f>
        <v/>
      </c>
      <c r="M33" s="119">
        <f>IF(M22=0,0,M32/M22)</f>
        <v/>
      </c>
      <c r="N33" s="119">
        <f>IF(N22=0,0,N32/N22)</f>
        <v/>
      </c>
      <c r="O33" s="119">
        <f>IF(O22=0,0,O32/O22)</f>
        <v/>
      </c>
    </row>
    <row r="34" ht="15" customHeight="1" s="74">
      <c r="A34" s="87" t="n"/>
      <c r="B34" s="88" t="inlineStr">
        <is>
          <t>Cumulative Profit / (Loss)</t>
        </is>
      </c>
      <c r="C34" s="120">
        <f>C32</f>
        <v/>
      </c>
      <c r="D34" s="120">
        <f>C34+D32</f>
        <v/>
      </c>
      <c r="E34" s="120">
        <f>D34+E32</f>
        <v/>
      </c>
      <c r="F34" s="120">
        <f>E34+F32</f>
        <v/>
      </c>
      <c r="G34" s="120">
        <f>F34+G32</f>
        <v/>
      </c>
      <c r="H34" s="120">
        <f>G34+H32</f>
        <v/>
      </c>
      <c r="I34" s="120">
        <f>H34+I32</f>
        <v/>
      </c>
      <c r="J34" s="120">
        <f>I34+J32</f>
        <v/>
      </c>
      <c r="K34" s="120">
        <f>J34+K32</f>
        <v/>
      </c>
      <c r="L34" s="120">
        <f>K34+L32</f>
        <v/>
      </c>
      <c r="M34" s="120">
        <f>L34+M32</f>
        <v/>
      </c>
      <c r="N34" s="120">
        <f>M34+N32</f>
        <v/>
      </c>
      <c r="O34" s="118">
        <f>N34</f>
        <v/>
      </c>
    </row>
    <row r="35" ht="15" customHeight="1" s="74">
      <c r="A35" s="87" t="n"/>
      <c r="B35" s="87" t="n"/>
      <c r="C35" s="87" t="n"/>
      <c r="D35" s="87" t="n"/>
      <c r="E35" s="87" t="n"/>
      <c r="F35" s="87" t="n"/>
      <c r="G35" s="87" t="n"/>
      <c r="H35" s="87" t="n"/>
      <c r="I35" s="87" t="n"/>
      <c r="J35" s="87" t="n"/>
      <c r="K35" s="87" t="n"/>
      <c r="L35" s="87" t="n"/>
      <c r="M35" s="87" t="n"/>
      <c r="N35" s="87" t="n"/>
      <c r="O35" s="87" t="n"/>
    </row>
    <row r="36" ht="15" customHeight="1" s="74">
      <c r="A36" s="121" t="inlineStr">
        <is>
          <t>KEY METRICS</t>
        </is>
      </c>
      <c r="B36" s="94" t="n"/>
      <c r="C36" s="122" t="n"/>
      <c r="D36" s="122" t="n"/>
      <c r="E36" s="122" t="n"/>
      <c r="F36" s="122" t="n"/>
      <c r="G36" s="122" t="n"/>
      <c r="H36" s="122" t="n"/>
      <c r="I36" s="122" t="n"/>
      <c r="J36" s="122" t="n"/>
      <c r="K36" s="122" t="n"/>
      <c r="L36" s="122" t="n"/>
      <c r="M36" s="122" t="n"/>
      <c r="N36" s="122" t="n"/>
      <c r="O36" s="122" t="n"/>
    </row>
    <row r="37" ht="15" customHeight="1" s="74">
      <c r="A37" s="87" t="n"/>
      <c r="B37" s="96" t="inlineStr">
        <is>
          <t>Cost Per Funded Deal</t>
        </is>
      </c>
      <c r="C37" s="108">
        <f>IF(C16=0,0,C29/C16)</f>
        <v/>
      </c>
      <c r="D37" s="108">
        <f>IF(D16=0,0,D29/D16)</f>
        <v/>
      </c>
      <c r="E37" s="108">
        <f>IF(E16=0,0,E29/E16)</f>
        <v/>
      </c>
      <c r="F37" s="108">
        <f>IF(F16=0,0,F29/F16)</f>
        <v/>
      </c>
      <c r="G37" s="108">
        <f>IF(G16=0,0,G29/G16)</f>
        <v/>
      </c>
      <c r="H37" s="108">
        <f>IF(H16=0,0,H29/H16)</f>
        <v/>
      </c>
      <c r="I37" s="108">
        <f>IF(I16=0,0,I29/I16)</f>
        <v/>
      </c>
      <c r="J37" s="108">
        <f>IF(J16=0,0,J29/J16)</f>
        <v/>
      </c>
      <c r="K37" s="108">
        <f>IF(K16=0,0,K29/K16)</f>
        <v/>
      </c>
      <c r="L37" s="108">
        <f>IF(L16=0,0,L29/L16)</f>
        <v/>
      </c>
      <c r="M37" s="108">
        <f>IF(M16=0,0,M29/M16)</f>
        <v/>
      </c>
      <c r="N37" s="108">
        <f>IF(N16=0,0,N29/N16)</f>
        <v/>
      </c>
      <c r="O37" s="109">
        <f>IF(O16=0,0,O29/O16)</f>
        <v/>
      </c>
    </row>
    <row r="38" ht="15" customHeight="1" s="74">
      <c r="A38" s="87" t="n"/>
      <c r="B38" s="96" t="inlineStr">
        <is>
          <t>Revenue Per Funded Deal</t>
        </is>
      </c>
      <c r="C38" s="108">
        <f>IF(C16+C17=0,0,C22/(C16+C17))</f>
        <v/>
      </c>
      <c r="D38" s="108">
        <f>IF(D16+D17=0,0,D22/(D16+D17))</f>
        <v/>
      </c>
      <c r="E38" s="108">
        <f>IF(E16+E17=0,0,E22/(E16+E17))</f>
        <v/>
      </c>
      <c r="F38" s="108">
        <f>IF(F16+F17=0,0,F22/(F16+F17))</f>
        <v/>
      </c>
      <c r="G38" s="108">
        <f>IF(G16+G17=0,0,G22/(G16+G17))</f>
        <v/>
      </c>
      <c r="H38" s="108">
        <f>IF(H16+H17=0,0,H22/(H16+H17))</f>
        <v/>
      </c>
      <c r="I38" s="108">
        <f>IF(I16+I17=0,0,I22/(I16+I17))</f>
        <v/>
      </c>
      <c r="J38" s="108">
        <f>IF(J16+J17=0,0,J22/(J16+J17))</f>
        <v/>
      </c>
      <c r="K38" s="108">
        <f>IF(K16+K17=0,0,K22/(K16+K17))</f>
        <v/>
      </c>
      <c r="L38" s="108">
        <f>IF(L16+L17=0,0,L22/(L16+L17))</f>
        <v/>
      </c>
      <c r="M38" s="108">
        <f>IF(M16+M17=0,0,M22/(M16+M17))</f>
        <v/>
      </c>
      <c r="N38" s="108">
        <f>IF(N16+N17=0,0,N22/(N16+N17))</f>
        <v/>
      </c>
      <c r="O38" s="109">
        <f>IF(O16+O17=0,0,O22/(O16+O17))</f>
        <v/>
      </c>
    </row>
    <row r="39" ht="15" customHeight="1" s="74">
      <c r="A39" s="87" t="n"/>
      <c r="B39" s="96" t="inlineStr">
        <is>
          <t>Lead-to-Fund Conversion Rate</t>
        </is>
      </c>
      <c r="C39" s="119">
        <f>IF(C10=0,0,C16/C10)</f>
        <v/>
      </c>
      <c r="D39" s="119">
        <f>IF(D10=0,0,D16/D10)</f>
        <v/>
      </c>
      <c r="E39" s="119">
        <f>IF(E10=0,0,E16/E10)</f>
        <v/>
      </c>
      <c r="F39" s="119">
        <f>IF(F10=0,0,F16/F10)</f>
        <v/>
      </c>
      <c r="G39" s="119">
        <f>IF(G10=0,0,G16/G10)</f>
        <v/>
      </c>
      <c r="H39" s="119">
        <f>IF(H10=0,0,H16/H10)</f>
        <v/>
      </c>
      <c r="I39" s="119">
        <f>IF(I10=0,0,I16/I10)</f>
        <v/>
      </c>
      <c r="J39" s="119">
        <f>IF(J10=0,0,J16/J10)</f>
        <v/>
      </c>
      <c r="K39" s="119">
        <f>IF(K10=0,0,K16/K10)</f>
        <v/>
      </c>
      <c r="L39" s="119">
        <f>IF(L10=0,0,L16/L10)</f>
        <v/>
      </c>
      <c r="M39" s="119">
        <f>IF(M10=0,0,M16/M10)</f>
        <v/>
      </c>
      <c r="N39" s="119">
        <f>IF(N10=0,0,N16/N10)</f>
        <v/>
      </c>
      <c r="O39" s="123">
        <f>IF(O10=0,0,O16/O10)</f>
        <v/>
      </c>
    </row>
    <row r="40" ht="15" customHeight="1" s="74">
      <c r="A40" s="87" t="n"/>
      <c r="B40" s="96" t="inlineStr">
        <is>
          <t>ROI on Lead Spend</t>
        </is>
      </c>
      <c r="C40" s="119">
        <f>IF(C27=0,0,(C22-C27)/C27)</f>
        <v/>
      </c>
      <c r="D40" s="119">
        <f>IF(D27=0,0,(D22-D27)/D27)</f>
        <v/>
      </c>
      <c r="E40" s="119">
        <f>IF(E27=0,0,(E22-E27)/E27)</f>
        <v/>
      </c>
      <c r="F40" s="119">
        <f>IF(F27=0,0,(F22-F27)/F27)</f>
        <v/>
      </c>
      <c r="G40" s="119">
        <f>IF(G27=0,0,(G22-G27)/G27)</f>
        <v/>
      </c>
      <c r="H40" s="119">
        <f>IF(H27=0,0,(H22-H27)/H27)</f>
        <v/>
      </c>
      <c r="I40" s="119">
        <f>IF(I27=0,0,(I22-I27)/I27)</f>
        <v/>
      </c>
      <c r="J40" s="119">
        <f>IF(J27=0,0,(J22-J27)/J27)</f>
        <v/>
      </c>
      <c r="K40" s="119">
        <f>IF(K27=0,0,(K22-K27)/K27)</f>
        <v/>
      </c>
      <c r="L40" s="119">
        <f>IF(L27=0,0,(L22-L27)/L27)</f>
        <v/>
      </c>
      <c r="M40" s="119">
        <f>IF(M27=0,0,(M22-M27)/M27)</f>
        <v/>
      </c>
      <c r="N40" s="119">
        <f>IF(N27=0,0,(N22-N27)/N27)</f>
        <v/>
      </c>
      <c r="O40" s="123">
        <f>IF(O27=0,0,(O22-O27)/O27)</f>
        <v/>
      </c>
    </row>
  </sheetData>
  <mergeCells count="8">
    <mergeCell ref="A24:B24"/>
    <mergeCell ref="A2:O2"/>
    <mergeCell ref="A7:B7"/>
    <mergeCell ref="A19:B19"/>
    <mergeCell ref="A1:O1"/>
    <mergeCell ref="A36:B36"/>
    <mergeCell ref="A31:B31"/>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39C12"/>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73" min="1" max="1"/>
    <col width="36" customWidth="1" style="73" min="2" max="2"/>
    <col width="22" customWidth="1" style="73" min="3" max="6"/>
  </cols>
  <sheetData>
    <row r="1" ht="45" customHeight="1" s="74">
      <c r="A1" s="75" t="inlineStr">
        <is>
          <t>SCENARIO COMPARISON — CONSERVATIVE vs MOST LIKELY vs OPTIMISTIC</t>
        </is>
      </c>
    </row>
    <row r="2" ht="15" customHeight="1" s="74">
      <c r="A2" s="76" t="inlineStr">
        <is>
          <t>Annual projections at full ramp (Month 12 run rate × 12)</t>
        </is>
      </c>
    </row>
    <row r="4" ht="15" customHeight="1" s="74">
      <c r="A4" s="124" t="n"/>
      <c r="B4" s="124" t="n"/>
      <c r="C4" s="124" t="inlineStr">
        <is>
          <t>Conservative</t>
        </is>
      </c>
      <c r="D4" s="124" t="inlineStr">
        <is>
          <t>Most Likely</t>
        </is>
      </c>
      <c r="E4" s="124" t="inlineStr">
        <is>
          <t>Optimistic</t>
        </is>
      </c>
    </row>
    <row r="6" ht="15" customHeight="1" s="74">
      <c r="A6" s="125" t="inlineStr">
        <is>
          <t>MONTHLY VOLUME (STEADY STATE)</t>
        </is>
      </c>
      <c r="C6" s="126" t="n"/>
      <c r="D6" s="126" t="n"/>
      <c r="E6" s="126" t="n"/>
    </row>
    <row r="7" ht="15" customHeight="1" s="74">
      <c r="A7" s="79" t="n">
        <v>1</v>
      </c>
      <c r="B7" s="96" t="inlineStr">
        <is>
          <t>Leads / Month</t>
        </is>
      </c>
      <c r="C7" s="97">
        <f>Assumptions!C8+Assumptions!C9</f>
        <v/>
      </c>
      <c r="D7" s="97">
        <f>Assumptions!D8+Assumptions!D9</f>
        <v/>
      </c>
      <c r="E7" s="97">
        <f>Assumptions!E8+Assumptions!E9</f>
        <v/>
      </c>
    </row>
    <row r="8" ht="15" customHeight="1" s="74">
      <c r="A8" s="79" t="n">
        <v>2</v>
      </c>
      <c r="B8" s="96" t="inlineStr">
        <is>
          <t>Funded Deals / Month (New)</t>
        </is>
      </c>
      <c r="C8" s="127">
        <f>(Assumptions!C8+Assumptions!C9)*Assumptions!C14*Assumptions!C15*Assumptions!C16*Assumptions!C17</f>
        <v/>
      </c>
      <c r="D8" s="127">
        <f>(Assumptions!D8+Assumptions!D9)*Assumptions!D14*Assumptions!D15*Assumptions!D16*Assumptions!D17</f>
        <v/>
      </c>
      <c r="E8" s="127">
        <f>(Assumptions!E8+Assumptions!E9)*Assumptions!E14*Assumptions!E15*Assumptions!E16*Assumptions!E17</f>
        <v/>
      </c>
    </row>
    <row r="9" ht="15" customHeight="1" s="74">
      <c r="A9" s="79" t="n">
        <v>3</v>
      </c>
      <c r="B9" s="96" t="inlineStr">
        <is>
          <t>Renewal Deals / Month</t>
        </is>
      </c>
      <c r="C9" s="127">
        <f>C8*Assumptions!C23</f>
        <v/>
      </c>
      <c r="D9" s="127">
        <f>D8*Assumptions!D23</f>
        <v/>
      </c>
      <c r="E9" s="127">
        <f>E8*Assumptions!E23</f>
        <v/>
      </c>
    </row>
    <row r="10" ht="15" customHeight="1" s="74">
      <c r="A10" s="79" t="n">
        <v>4</v>
      </c>
      <c r="B10" s="96" t="inlineStr">
        <is>
          <t>Total Deals / Month</t>
        </is>
      </c>
      <c r="C10" s="127">
        <f>C8+C9</f>
        <v/>
      </c>
      <c r="D10" s="127">
        <f>D8+D9</f>
        <v/>
      </c>
      <c r="E10" s="127">
        <f>E8+E9</f>
        <v/>
      </c>
    </row>
    <row r="11" ht="15" customHeight="1" s="74">
      <c r="A11" s="125" t="inlineStr">
        <is>
          <t>MONTHLY REVENUE (STEADY STATE)</t>
        </is>
      </c>
      <c r="C11" s="126" t="n"/>
      <c r="D11" s="126" t="n"/>
      <c r="E11" s="126" t="n"/>
    </row>
    <row r="12" ht="15" customHeight="1" s="74">
      <c r="A12" s="79" t="n">
        <v>5</v>
      </c>
      <c r="B12" s="96" t="inlineStr">
        <is>
          <t>New Deal Commission / Month</t>
        </is>
      </c>
      <c r="C12" s="108">
        <f>C8*Assumptions!C21*Assumptions!C22</f>
        <v/>
      </c>
      <c r="D12" s="108">
        <f>D8*Assumptions!D21*Assumptions!D22</f>
        <v/>
      </c>
      <c r="E12" s="108">
        <f>E8*Assumptions!E21*Assumptions!E22</f>
        <v/>
      </c>
    </row>
    <row r="13" ht="15" customHeight="1" s="74">
      <c r="A13" s="79" t="n">
        <v>6</v>
      </c>
      <c r="B13" s="96" t="inlineStr">
        <is>
          <t>Renewal Commission / Month</t>
        </is>
      </c>
      <c r="C13" s="108">
        <f>C9*Assumptions!C21*Assumptions!C24</f>
        <v/>
      </c>
      <c r="D13" s="108">
        <f>D9*Assumptions!D21*Assumptions!D24</f>
        <v/>
      </c>
      <c r="E13" s="108">
        <f>E9*Assumptions!E21*Assumptions!E24</f>
        <v/>
      </c>
    </row>
    <row r="14" ht="15" customHeight="1" s="74">
      <c r="A14" s="79" t="n">
        <v>7</v>
      </c>
      <c r="B14" s="96" t="inlineStr">
        <is>
          <t>Total Monthly Revenue</t>
        </is>
      </c>
      <c r="C14" s="108">
        <f>C12+C13</f>
        <v/>
      </c>
      <c r="D14" s="108">
        <f>D12+D13</f>
        <v/>
      </c>
      <c r="E14" s="108">
        <f>E12+E13</f>
        <v/>
      </c>
    </row>
    <row r="15" ht="15" customHeight="1" s="74">
      <c r="A15" s="125" t="inlineStr">
        <is>
          <t>MONTHLY COSTS (STEADY STATE)</t>
        </is>
      </c>
      <c r="C15" s="126" t="n"/>
      <c r="D15" s="126" t="n"/>
      <c r="E15" s="126" t="n"/>
    </row>
    <row r="16" ht="15" customHeight="1" s="74">
      <c r="A16" s="79" t="n">
        <v>8</v>
      </c>
      <c r="B16" s="96" t="inlineStr">
        <is>
          <t>Live Transfer Spend</t>
        </is>
      </c>
      <c r="C16" s="108">
        <f>Assumptions!C8*Assumptions!C6</f>
        <v/>
      </c>
      <c r="D16" s="108">
        <f>Assumptions!D8*Assumptions!D6</f>
        <v/>
      </c>
      <c r="E16" s="108">
        <f>Assumptions!E8*Assumptions!E6</f>
        <v/>
      </c>
    </row>
    <row r="17" ht="15" customHeight="1" s="74">
      <c r="A17" s="79" t="n">
        <v>9</v>
      </c>
      <c r="B17" s="96" t="inlineStr">
        <is>
          <t>Google Ads Spend</t>
        </is>
      </c>
      <c r="C17" s="108">
        <f>Assumptions!C9*Assumptions!C7</f>
        <v/>
      </c>
      <c r="D17" s="108">
        <f>Assumptions!D9*Assumptions!D7</f>
        <v/>
      </c>
      <c r="E17" s="108">
        <f>Assumptions!E9*Assumptions!E7</f>
        <v/>
      </c>
    </row>
    <row r="18" ht="15" customHeight="1" s="74">
      <c r="A18" s="79" t="n">
        <v>10</v>
      </c>
      <c r="B18" s="96" t="inlineStr">
        <is>
          <t>Fixed Costs</t>
        </is>
      </c>
      <c r="C18" s="108">
        <f>Assumptions!C34</f>
        <v/>
      </c>
      <c r="D18" s="108">
        <f>Assumptions!C34</f>
        <v/>
      </c>
      <c r="E18" s="108">
        <f>Assumptions!C34</f>
        <v/>
      </c>
    </row>
    <row r="19" ht="15" customHeight="1" s="74">
      <c r="A19" s="79" t="n">
        <v>11</v>
      </c>
      <c r="B19" s="96" t="inlineStr">
        <is>
          <t>Total Monthly Costs</t>
        </is>
      </c>
      <c r="C19" s="108">
        <f>C16+C17+C18</f>
        <v/>
      </c>
      <c r="D19" s="108">
        <f>D16+D17+D18</f>
        <v/>
      </c>
      <c r="E19" s="108">
        <f>E16+E17+E18</f>
        <v/>
      </c>
    </row>
    <row r="20" ht="15" customHeight="1" s="74">
      <c r="A20" s="125" t="inlineStr">
        <is>
          <t>MONTHLY PROFIT</t>
        </is>
      </c>
      <c r="C20" s="126" t="n"/>
      <c r="D20" s="126" t="n"/>
      <c r="E20" s="126" t="n"/>
    </row>
    <row r="21" ht="16.15" customHeight="1" s="74">
      <c r="A21" s="79" t="n">
        <v>12</v>
      </c>
      <c r="B21" s="101" t="inlineStr">
        <is>
          <t>Monthly Net Profit</t>
        </is>
      </c>
      <c r="C21" s="128">
        <f>C14-C19</f>
        <v/>
      </c>
      <c r="D21" s="128">
        <f>D14-D19</f>
        <v/>
      </c>
      <c r="E21" s="128">
        <f>E14-E19</f>
        <v/>
      </c>
    </row>
    <row r="22" ht="15" customHeight="1" s="74">
      <c r="A22" s="125" t="inlineStr">
        <is>
          <t>ANNUALIZED (STEADY STATE × 12)</t>
        </is>
      </c>
      <c r="C22" s="126" t="n"/>
      <c r="D22" s="126" t="n"/>
      <c r="E22" s="126" t="n"/>
    </row>
    <row r="23" ht="15" customHeight="1" s="74">
      <c r="A23" s="79" t="n">
        <v>13</v>
      </c>
      <c r="B23" s="96" t="inlineStr">
        <is>
          <t>Annual Revenue</t>
        </is>
      </c>
      <c r="C23" s="108">
        <f>C14*12</f>
        <v/>
      </c>
      <c r="D23" s="108">
        <f>D14*12</f>
        <v/>
      </c>
      <c r="E23" s="108">
        <f>E14*12</f>
        <v/>
      </c>
    </row>
    <row r="24" ht="15" customHeight="1" s="74">
      <c r="A24" s="79" t="n">
        <v>14</v>
      </c>
      <c r="B24" s="96" t="inlineStr">
        <is>
          <t>Annual Costs</t>
        </is>
      </c>
      <c r="C24" s="108">
        <f>C19*12</f>
        <v/>
      </c>
      <c r="D24" s="108">
        <f>D19*12</f>
        <v/>
      </c>
      <c r="E24" s="108">
        <f>E19*12</f>
        <v/>
      </c>
    </row>
    <row r="25" ht="16.15" customHeight="1" s="74">
      <c r="A25" s="79" t="n">
        <v>15</v>
      </c>
      <c r="B25" s="101" t="inlineStr">
        <is>
          <t>Annual Net Profit</t>
        </is>
      </c>
      <c r="C25" s="128">
        <f>C23-C24</f>
        <v/>
      </c>
      <c r="D25" s="128">
        <f>D23-D24</f>
        <v/>
      </c>
      <c r="E25" s="128">
        <f>E23-E24</f>
        <v/>
      </c>
    </row>
    <row r="26" ht="15" customHeight="1" s="74">
      <c r="A26" s="79" t="n">
        <v>16</v>
      </c>
      <c r="B26" s="96" t="inlineStr">
        <is>
          <t>Annual Profit Margin</t>
        </is>
      </c>
      <c r="C26" s="119">
        <f>IF(C23=0,0,C25/C23)</f>
        <v/>
      </c>
      <c r="D26" s="119">
        <f>IF(D23=0,0,D25/D23)</f>
        <v/>
      </c>
      <c r="E26" s="119">
        <f>IF(E23=0,0,E25/E23)</f>
        <v/>
      </c>
    </row>
    <row r="27" ht="15" customHeight="1" s="74">
      <c r="A27" s="79" t="n">
        <v>17</v>
      </c>
      <c r="B27" s="96" t="inlineStr">
        <is>
          <t>Annual Deals Funded</t>
        </is>
      </c>
      <c r="C27" s="97">
        <f>C10*12</f>
        <v/>
      </c>
      <c r="D27" s="97">
        <f>D10*12</f>
        <v/>
      </c>
      <c r="E27" s="97">
        <f>E10*12</f>
        <v/>
      </c>
    </row>
    <row r="28" ht="15" customHeight="1" s="74">
      <c r="A28" s="79" t="n">
        <v>18</v>
      </c>
      <c r="B28" s="96" t="inlineStr">
        <is>
          <t>Total Volume Funded</t>
        </is>
      </c>
      <c r="C28" s="108">
        <f>C27*Assumptions!C21</f>
        <v/>
      </c>
      <c r="D28" s="108">
        <f>D27*Assumptions!D21</f>
        <v/>
      </c>
      <c r="E28" s="108">
        <f>E27*Assumptions!E21</f>
        <v/>
      </c>
    </row>
    <row r="29" ht="15" customHeight="1" s="74">
      <c r="A29" s="125" t="inlineStr">
        <is>
          <t>KEY RATIOS</t>
        </is>
      </c>
      <c r="C29" s="126" t="n"/>
      <c r="D29" s="126" t="n"/>
      <c r="E29" s="126" t="n"/>
    </row>
    <row r="30" ht="15" customHeight="1" s="74">
      <c r="A30" s="79" t="n">
        <v>19</v>
      </c>
      <c r="B30" s="96" t="inlineStr">
        <is>
          <t>Cost Per Funded Deal</t>
        </is>
      </c>
      <c r="C30" s="108">
        <f>IF(C10=0,0,C19/C10)</f>
        <v/>
      </c>
      <c r="D30" s="108">
        <f>IF(D10=0,0,D19/D10)</f>
        <v/>
      </c>
      <c r="E30" s="108">
        <f>IF(E10=0,0,E19/E10)</f>
        <v/>
      </c>
    </row>
    <row r="31" ht="15" customHeight="1" s="74">
      <c r="A31" s="79" t="n">
        <v>20</v>
      </c>
      <c r="B31" s="96" t="inlineStr">
        <is>
          <t>Revenue Per Funded Deal</t>
        </is>
      </c>
      <c r="C31" s="108">
        <f>IF(C10=0,0,C14/C10)</f>
        <v/>
      </c>
      <c r="D31" s="108">
        <f>IF(D10=0,0,D14/D10)</f>
        <v/>
      </c>
      <c r="E31" s="108">
        <f>IF(E10=0,0,E14/E10)</f>
        <v/>
      </c>
    </row>
    <row r="32" ht="15" customHeight="1" s="74">
      <c r="A32" s="79" t="n">
        <v>21</v>
      </c>
      <c r="B32" s="96" t="inlineStr">
        <is>
          <t>Lead-to-Fund Conversion</t>
        </is>
      </c>
      <c r="C32" s="119">
        <f>Assumptions!C14*Assumptions!C15*Assumptions!C16*Assumptions!C17</f>
        <v/>
      </c>
      <c r="D32" s="119">
        <f>Assumptions!D14*Assumptions!D15*Assumptions!D16*Assumptions!D17</f>
        <v/>
      </c>
      <c r="E32" s="119">
        <f>Assumptions!E14*Assumptions!E15*Assumptions!E16*Assumptions!E17</f>
        <v/>
      </c>
    </row>
    <row r="33" ht="15" customHeight="1" s="74">
      <c r="A33" s="79" t="n">
        <v>22</v>
      </c>
      <c r="B33" s="96" t="inlineStr">
        <is>
          <t>ROI on Lead Spend</t>
        </is>
      </c>
      <c r="C33" s="119">
        <f>IF(C16+C17=0,0,(C14-(C16+C17))/(C16+C17))</f>
        <v/>
      </c>
      <c r="D33" s="119">
        <f>IF(D16+D17=0,0,(D14-(D16+D17))/(D16+D17))</f>
        <v/>
      </c>
      <c r="E33" s="119">
        <f>IF(E16+E17=0,0,(E14-(E16+E17))/(E16+E17))</f>
        <v/>
      </c>
    </row>
    <row r="34" ht="15" customHeight="1" s="74">
      <c r="A34" s="79" t="n">
        <v>23</v>
      </c>
      <c r="B34" s="96" t="inlineStr">
        <is>
          <t>Months to Break Even (approx)</t>
        </is>
      </c>
      <c r="C34" s="127">
        <f>IF(C21&lt;=0,"N/A",C19/C21)</f>
        <v/>
      </c>
      <c r="D34" s="127">
        <f>IF(D21&lt;=0,"N/A",D19/D21)</f>
        <v/>
      </c>
      <c r="E34" s="127">
        <f>IF(E21&lt;=0,"N/A",E19/E21)</f>
        <v/>
      </c>
    </row>
  </sheetData>
  <mergeCells count="8">
    <mergeCell ref="A2:F2"/>
    <mergeCell ref="A20:B20"/>
    <mergeCell ref="A29:B29"/>
    <mergeCell ref="A15:B15"/>
    <mergeCell ref="A11:B11"/>
    <mergeCell ref="A1:F1"/>
    <mergeCell ref="A6:B6"/>
    <mergeCell ref="A22:B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9B59B6"/>
    <outlinePr summaryBelow="1" summaryRight="1"/>
    <pageSetUpPr fitToPage="0"/>
  </sheetPr>
  <dimension ref="A1:I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73" min="1" max="1"/>
    <col width="28" customWidth="1" style="73" min="2" max="2"/>
    <col width="16" customWidth="1" style="73" min="3" max="9"/>
  </cols>
  <sheetData>
    <row r="1" ht="45" customHeight="1" s="74">
      <c r="A1" s="75" t="inlineStr">
        <is>
          <t>MARKET ALLOCATION — BUDGET &amp; LEAD DISTRIBUTION BY CITY</t>
        </is>
      </c>
    </row>
    <row r="2" ht="15" customHeight="1" s="74">
      <c r="A2" s="76" t="inlineStr">
        <is>
          <t>Based on Most Likely scenario — adjust allocation % to shift focus between markets</t>
        </is>
      </c>
    </row>
    <row r="4" ht="36" customHeight="1" s="74">
      <c r="A4" s="129" t="n"/>
      <c r="B4" s="129" t="inlineStr">
        <is>
          <t>Market</t>
        </is>
      </c>
      <c r="C4" s="129" t="inlineStr">
        <is>
          <t>Allocation %</t>
        </is>
      </c>
      <c r="D4" s="129" t="inlineStr">
        <is>
          <t>Leads/Month</t>
        </is>
      </c>
      <c r="E4" s="129" t="inlineStr">
        <is>
          <t>Monthly
Lead Spend</t>
        </is>
      </c>
      <c r="F4" s="129" t="inlineStr">
        <is>
          <t>Est. Deals
Funded/Mo</t>
        </is>
      </c>
      <c r="G4" s="129" t="inlineStr">
        <is>
          <t>Monthly
Revenue</t>
        </is>
      </c>
      <c r="H4" s="129" t="inlineStr">
        <is>
          <t>Monthly
Profit</t>
        </is>
      </c>
      <c r="I4" s="129" t="inlineStr">
        <is>
          <t>Priority
Rank</t>
        </is>
      </c>
    </row>
    <row r="5" ht="15" customHeight="1" s="74">
      <c r="A5" s="130" t="inlineStr">
        <is>
          <t>1</t>
        </is>
      </c>
      <c r="B5" s="131" t="inlineStr">
        <is>
          <t>Indianapolis, IN</t>
        </is>
      </c>
      <c r="C5" s="132" t="n">
        <v>0.2</v>
      </c>
      <c r="D5" s="133">
        <f>C5*Assumptions!D10</f>
        <v/>
      </c>
      <c r="E5" s="134">
        <f>D5*((Assumptions!D6*Assumptions!D8+Assumptions!D7*Assumptions!D9)/Assumptions!D10)</f>
        <v/>
      </c>
      <c r="F5" s="133">
        <f>D5*Assumptions!D14*Assumptions!D15*Assumptions!D16*Assumptions!D17</f>
        <v/>
      </c>
      <c r="G5" s="134">
        <f>F5*Assumptions!D21*Assumptions!D22</f>
        <v/>
      </c>
      <c r="H5" s="135">
        <f>G5-E5-(C5*Assumptions!C34)</f>
        <v/>
      </c>
      <c r="I5" s="136" t="n">
        <v>1</v>
      </c>
    </row>
    <row r="6" ht="15" customHeight="1" s="74">
      <c r="A6" s="79" t="inlineStr">
        <is>
          <t>2</t>
        </is>
      </c>
      <c r="B6" s="88" t="inlineStr">
        <is>
          <t>Phoenix / Scottsdale, AZ</t>
        </is>
      </c>
      <c r="C6" s="85" t="n">
        <v>0.2</v>
      </c>
      <c r="D6" s="137">
        <f>C6*Assumptions!D10</f>
        <v/>
      </c>
      <c r="E6" s="138">
        <f>D6*((Assumptions!D6*Assumptions!D8+Assumptions!D7*Assumptions!D9)/Assumptions!D10)</f>
        <v/>
      </c>
      <c r="F6" s="137">
        <f>D6*Assumptions!D14*Assumptions!D15*Assumptions!D16*Assumptions!D17</f>
        <v/>
      </c>
      <c r="G6" s="138">
        <f>F6*Assumptions!D21*Assumptions!D22</f>
        <v/>
      </c>
      <c r="H6" s="139">
        <f>G6-E6-(C6*Assumptions!C34)</f>
        <v/>
      </c>
      <c r="I6" s="84" t="n">
        <v>2</v>
      </c>
    </row>
    <row r="7" ht="15" customHeight="1" s="74">
      <c r="A7" s="130" t="inlineStr">
        <is>
          <t>3</t>
        </is>
      </c>
      <c r="B7" s="131" t="inlineStr">
        <is>
          <t>Columbus / Cincinnati, OH</t>
        </is>
      </c>
      <c r="C7" s="132" t="n">
        <v>0.2</v>
      </c>
      <c r="D7" s="133">
        <f>C7*Assumptions!D10</f>
        <v/>
      </c>
      <c r="E7" s="134">
        <f>D7*((Assumptions!D6*Assumptions!D8+Assumptions!D7*Assumptions!D9)/Assumptions!D10)</f>
        <v/>
      </c>
      <c r="F7" s="133">
        <f>D7*Assumptions!D14*Assumptions!D15*Assumptions!D16*Assumptions!D17</f>
        <v/>
      </c>
      <c r="G7" s="134">
        <f>F7*Assumptions!D21*Assumptions!D22</f>
        <v/>
      </c>
      <c r="H7" s="135">
        <f>G7-E7-(C7*Assumptions!C34)</f>
        <v/>
      </c>
      <c r="I7" s="136" t="n">
        <v>3</v>
      </c>
    </row>
    <row r="8" ht="15" customHeight="1" s="74">
      <c r="A8" s="79" t="inlineStr">
        <is>
          <t>4</t>
        </is>
      </c>
      <c r="B8" s="88" t="inlineStr">
        <is>
          <t>Washington DC / NoVA</t>
        </is>
      </c>
      <c r="C8" s="85" t="n">
        <v>0.15</v>
      </c>
      <c r="D8" s="137">
        <f>C8*Assumptions!D10</f>
        <v/>
      </c>
      <c r="E8" s="138">
        <f>D8*((Assumptions!D6*Assumptions!D8+Assumptions!D7*Assumptions!D9)/Assumptions!D10)</f>
        <v/>
      </c>
      <c r="F8" s="137">
        <f>D8*Assumptions!D14*Assumptions!D15*Assumptions!D16*Assumptions!D17</f>
        <v/>
      </c>
      <c r="G8" s="138">
        <f>F8*Assumptions!D21*Assumptions!D22</f>
        <v/>
      </c>
      <c r="H8" s="139">
        <f>G8-E8-(C8*Assumptions!C34)</f>
        <v/>
      </c>
      <c r="I8" s="84" t="n">
        <v>4</v>
      </c>
    </row>
    <row r="9" ht="15" customHeight="1" s="74">
      <c r="A9" s="130" t="inlineStr">
        <is>
          <t>5</t>
        </is>
      </c>
      <c r="B9" s="131" t="inlineStr">
        <is>
          <t>Sacramento, CA</t>
        </is>
      </c>
      <c r="C9" s="132" t="n">
        <v>0.1</v>
      </c>
      <c r="D9" s="133">
        <f>C9*Assumptions!D10</f>
        <v/>
      </c>
      <c r="E9" s="134">
        <f>D9*((Assumptions!D6*Assumptions!D8+Assumptions!D7*Assumptions!D9)/Assumptions!D10)</f>
        <v/>
      </c>
      <c r="F9" s="133">
        <f>D9*Assumptions!D14*Assumptions!D15*Assumptions!D16*Assumptions!D17</f>
        <v/>
      </c>
      <c r="G9" s="134">
        <f>F9*Assumptions!D21*Assumptions!D22</f>
        <v/>
      </c>
      <c r="H9" s="135">
        <f>G9-E9-(C9*Assumptions!C34)</f>
        <v/>
      </c>
      <c r="I9" s="136" t="n">
        <v>5</v>
      </c>
    </row>
    <row r="10" ht="15" customHeight="1" s="74">
      <c r="A10" s="79" t="inlineStr">
        <is>
          <t>6</t>
        </is>
      </c>
      <c r="B10" s="88" t="inlineStr">
        <is>
          <t>South Florida (Home)</t>
        </is>
      </c>
      <c r="C10" s="85" t="n">
        <v>0.15</v>
      </c>
      <c r="D10" s="137">
        <f>C10*Assumptions!D10</f>
        <v/>
      </c>
      <c r="E10" s="138">
        <f>D10*((Assumptions!D6*Assumptions!D8+Assumptions!D7*Assumptions!D9)/Assumptions!D10)</f>
        <v/>
      </c>
      <c r="F10" s="137">
        <f>D10*Assumptions!D14*Assumptions!D15*Assumptions!D16*Assumptions!D17</f>
        <v/>
      </c>
      <c r="G10" s="138">
        <f>F10*Assumptions!D21*Assumptions!D22</f>
        <v/>
      </c>
      <c r="H10" s="139">
        <f>G10-E10-(C10*Assumptions!C34)</f>
        <v/>
      </c>
      <c r="I10" s="84" t="n">
        <v>6</v>
      </c>
    </row>
    <row r="11" ht="15" customHeight="1" s="74">
      <c r="A11" s="87" t="n"/>
      <c r="B11" s="99" t="inlineStr">
        <is>
          <t>TOTALS</t>
        </is>
      </c>
      <c r="C11" s="140">
        <f>SUM(C5:C10)</f>
        <v/>
      </c>
      <c r="D11" s="141">
        <f>SUM(D5:D10)</f>
        <v/>
      </c>
      <c r="E11" s="142">
        <f>SUM(E5:E10)</f>
        <v/>
      </c>
      <c r="F11" s="141">
        <f>SUM(F5:F10)</f>
        <v/>
      </c>
      <c r="G11" s="142">
        <f>SUM(G5:G10)</f>
        <v/>
      </c>
      <c r="H11" s="142">
        <f>SUM(H5:H10)</f>
        <v/>
      </c>
      <c r="I11" s="87" t="n"/>
    </row>
    <row r="13" ht="15" customHeight="1" s="74">
      <c r="A13" s="125" t="inlineStr">
        <is>
          <t>MARKET NOTES</t>
        </is>
      </c>
    </row>
    <row r="14" ht="15" customHeight="1" s="74">
      <c r="B14" s="143" t="inlineStr">
        <is>
          <t>Indianapolis, IN</t>
        </is>
      </c>
      <c r="C14" s="144" t="inlineStr">
        <is>
          <t>Hot — #5 best state, massive construction</t>
        </is>
      </c>
    </row>
    <row r="15" ht="15" customHeight="1" s="74">
      <c r="B15" s="143" t="inlineStr">
        <is>
          <t>Phoenix / Scottsdale, AZ</t>
        </is>
      </c>
      <c r="C15" s="144" t="inlineStr">
        <is>
          <t>Explosive growth, exceeding national avg</t>
        </is>
      </c>
    </row>
    <row r="16" ht="15" customHeight="1" s="74">
      <c r="B16" s="143" t="inlineStr">
        <is>
          <t>Columbus / Cincinnati, OH</t>
        </is>
      </c>
      <c r="C16" s="144" t="inlineStr">
        <is>
          <t>#4 best state, hospital &amp; airport projects</t>
        </is>
      </c>
    </row>
    <row r="17" ht="15" customHeight="1" s="74">
      <c r="B17" s="143" t="inlineStr">
        <is>
          <t>Washington DC / NoVA</t>
        </is>
      </c>
      <c r="C17" s="144" t="inlineStr">
        <is>
          <t>Data center boom, $178M YOY growth</t>
        </is>
      </c>
    </row>
    <row r="18" ht="15" customHeight="1" s="74">
      <c r="B18" s="143" t="inlineStr">
        <is>
          <t>Sacramento, CA</t>
        </is>
      </c>
      <c r="C18" s="144" t="inlineStr">
        <is>
          <t>State capital, gov contractor demand</t>
        </is>
      </c>
    </row>
    <row r="19" ht="15" customHeight="1" s="74">
      <c r="B19" s="143" t="inlineStr">
        <is>
          <t>South Florida (Home)</t>
        </is>
      </c>
      <c r="C19" s="144" t="inlineStr">
        <is>
          <t>Home base — lower volume but local presence</t>
        </is>
      </c>
    </row>
  </sheetData>
  <mergeCells count="9">
    <mergeCell ref="C14:I14"/>
    <mergeCell ref="A2:I2"/>
    <mergeCell ref="C18:I18"/>
    <mergeCell ref="C17:I17"/>
    <mergeCell ref="A13:I13"/>
    <mergeCell ref="A1:I1"/>
    <mergeCell ref="C16:I16"/>
    <mergeCell ref="C15:I15"/>
    <mergeCell ref="C19:I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E74C3C"/>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73" min="1" max="1"/>
    <col width="36" customWidth="1" style="73" min="2" max="2"/>
    <col width="22" customWidth="1" style="73" min="3" max="6"/>
  </cols>
  <sheetData>
    <row r="1" ht="45" customHeight="1" s="74">
      <c r="A1" s="75" t="inlineStr">
        <is>
          <t>BREAK-EVEN ANALYSIS — HOW MANY DEALS TO COVER COSTS?</t>
        </is>
      </c>
    </row>
    <row r="2" ht="15" customHeight="1" s="74">
      <c r="A2" s="76" t="inlineStr">
        <is>
          <t>Minimum deals needed per month to break even under each scenario</t>
        </is>
      </c>
    </row>
    <row r="4" ht="15" customHeight="1" s="74">
      <c r="A4" s="124" t="n"/>
      <c r="B4" s="124" t="n"/>
      <c r="C4" s="124" t="inlineStr">
        <is>
          <t>Conservative</t>
        </is>
      </c>
      <c r="D4" s="124" t="inlineStr">
        <is>
          <t>Most Likely</t>
        </is>
      </c>
      <c r="E4" s="124" t="inlineStr">
        <is>
          <t>Optimistic</t>
        </is>
      </c>
    </row>
    <row r="5" ht="15" customHeight="1" s="74">
      <c r="A5" s="79" t="n">
        <v>1</v>
      </c>
      <c r="B5" s="96" t="inlineStr">
        <is>
          <t>Revenue Per New Deal</t>
        </is>
      </c>
      <c r="C5" s="108">
        <f>Assumptions!C21*Assumptions!C22</f>
        <v/>
      </c>
      <c r="D5" s="108">
        <f>Assumptions!D21*Assumptions!D22</f>
        <v/>
      </c>
      <c r="E5" s="108">
        <f>Assumptions!E21*Assumptions!E22</f>
        <v/>
      </c>
    </row>
    <row r="6" ht="15" customHeight="1" s="74">
      <c r="A6" s="79" t="n">
        <v>2</v>
      </c>
      <c r="B6" s="96" t="inlineStr">
        <is>
          <t>Total Monthly Fixed Costs</t>
        </is>
      </c>
      <c r="C6" s="108">
        <f>Assumptions!C34</f>
        <v/>
      </c>
      <c r="D6" s="108">
        <f>Assumptions!C34</f>
        <v/>
      </c>
      <c r="E6" s="108">
        <f>Assumptions!C34</f>
        <v/>
      </c>
    </row>
    <row r="7" ht="15" customHeight="1" s="74">
      <c r="A7" s="79" t="n">
        <v>3</v>
      </c>
      <c r="B7" s="96" t="inlineStr">
        <is>
          <t>Avg Cost Per Lead (blended)</t>
        </is>
      </c>
      <c r="C7" s="108">
        <f>(Assumptions!C6*Assumptions!C8+Assumptions!C7*Assumptions!C9)/(Assumptions!C8+Assumptions!C9)</f>
        <v/>
      </c>
      <c r="D7" s="108">
        <f>(Assumptions!D6*Assumptions!D8+Assumptions!D7*Assumptions!D9)/(Assumptions!D8+Assumptions!D9)</f>
        <v/>
      </c>
      <c r="E7" s="108">
        <f>(Assumptions!E6*Assumptions!E8+Assumptions!E7*Assumptions!E9)/(Assumptions!E8+Assumptions!E9)</f>
        <v/>
      </c>
    </row>
    <row r="8" ht="15" customHeight="1" s="74">
      <c r="A8" s="79" t="n">
        <v>4</v>
      </c>
      <c r="B8" s="96" t="inlineStr">
        <is>
          <t>Lead-to-Fund Conversion Rate</t>
        </is>
      </c>
      <c r="C8" s="119">
        <f>Assumptions!C14*Assumptions!C15*Assumptions!C16*Assumptions!C17</f>
        <v/>
      </c>
      <c r="D8" s="119">
        <f>Assumptions!D14*Assumptions!D15*Assumptions!D16*Assumptions!D17</f>
        <v/>
      </c>
      <c r="E8" s="119">
        <f>Assumptions!E14*Assumptions!E15*Assumptions!E16*Assumptions!E17</f>
        <v/>
      </c>
    </row>
    <row r="9" ht="15" customHeight="1" s="74">
      <c r="A9" s="79" t="n">
        <v>5</v>
      </c>
      <c r="B9" s="96" t="inlineStr">
        <is>
          <t>Cost in Leads Per Funded Deal</t>
        </is>
      </c>
      <c r="C9" s="108">
        <f>IF(C8=0,0,C7/C8)</f>
        <v/>
      </c>
      <c r="D9" s="108">
        <f>IF(D8=0,0,D7/D8)</f>
        <v/>
      </c>
      <c r="E9" s="108">
        <f>IF(E8=0,0,E7/E8)</f>
        <v/>
      </c>
    </row>
    <row r="10" ht="15" customHeight="1" s="74">
      <c r="A10" s="79" t="n">
        <v>6</v>
      </c>
      <c r="B10" s="88" t="inlineStr">
        <is>
          <t>Net Profit Per Funded Deal</t>
        </is>
      </c>
      <c r="C10" s="145">
        <f>C5-C9</f>
        <v/>
      </c>
      <c r="D10" s="145">
        <f>D5-D9</f>
        <v/>
      </c>
      <c r="E10" s="145">
        <f>E5-E9</f>
        <v/>
      </c>
    </row>
    <row r="11" ht="15" customHeight="1" s="74">
      <c r="A11" s="79" t="n">
        <v>7</v>
      </c>
      <c r="B11" s="88" t="inlineStr">
        <is>
          <t>Deals to Cover Fixed Costs</t>
        </is>
      </c>
      <c r="C11" s="146">
        <f>IF(C10=0,"N/A",CEILING(C6/C10,1))</f>
        <v/>
      </c>
      <c r="D11" s="146">
        <f>IF(D10=0,"N/A",CEILING(D6/D10,1))</f>
        <v/>
      </c>
      <c r="E11" s="146">
        <f>IF(E10=0,"N/A",CEILING(E6/E10,1))</f>
        <v/>
      </c>
    </row>
    <row r="12" ht="15" customHeight="1" s="74">
      <c r="A12" s="79" t="n">
        <v>8</v>
      </c>
      <c r="B12" s="88" t="inlineStr">
        <is>
          <t>Deals to Cover ALL Costs</t>
        </is>
      </c>
      <c r="C12" s="146">
        <f>IF(C10=0,"N/A",CEILING((C6+(Assumptions!C8+Assumptions!C9)*C7)/C5,1))</f>
        <v/>
      </c>
      <c r="D12" s="146">
        <f>IF(D10=0,"N/A",CEILING((D6+(Assumptions!D8+Assumptions!D9)*D7)/D5,1))</f>
        <v/>
      </c>
      <c r="E12" s="146">
        <f>IF(E10=0,"N/A",CEILING((E6+(Assumptions!E8+Assumptions!E9)*E7)/E5,1))</f>
        <v/>
      </c>
    </row>
    <row r="15" ht="15" customHeight="1" s="74">
      <c r="B15" s="147" t="inlineStr">
        <is>
          <t>INTERPRETATION: 'Deals to Cover Fixed Costs' shows how many funded deals per month you need just to keep the lights on (before lead costs). 'Deals to Cover ALL Costs' shows total deals needed to break even including your lead acquisition spend. Anything above that number is pure profit. Blue values on the Assumptions tab are adjustable — change them to model your specific situation.</t>
        </is>
      </c>
    </row>
    <row r="16" ht="15" customHeight="1" s="74"/>
    <row r="17" ht="15" customHeight="1" s="74"/>
    <row r="18" ht="15" customHeight="1" s="74"/>
  </sheetData>
  <mergeCells count="3">
    <mergeCell ref="A2:F2"/>
    <mergeCell ref="A1:F1"/>
    <mergeCell ref="B15:E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tabColor rgb="008E44AD"/>
    <outlinePr summaryBelow="1" summaryRight="1"/>
    <pageSetUpPr/>
  </sheetPr>
  <dimension ref="A1:AA50"/>
  <sheetViews>
    <sheetView workbookViewId="0">
      <selection activeCell="A1" sqref="A1"/>
    </sheetView>
  </sheetViews>
  <sheetFormatPr baseColWidth="8" defaultRowHeight="15"/>
  <cols>
    <col width="4" customWidth="1" style="74" min="1" max="1"/>
    <col width="34" customWidth="1" style="74" min="2" max="2"/>
    <col width="13" customWidth="1" style="74" min="3" max="3"/>
    <col width="13" customWidth="1" style="74" min="4" max="4"/>
    <col width="13" customWidth="1" style="74" min="5" max="5"/>
    <col width="13" customWidth="1" style="74" min="6" max="6"/>
    <col width="13" customWidth="1" style="74" min="7" max="7"/>
    <col width="13" customWidth="1" style="74" min="8" max="8"/>
    <col width="13" customWidth="1" style="74" min="9" max="9"/>
    <col width="13" customWidth="1" style="74" min="10" max="10"/>
    <col width="13" customWidth="1" style="74" min="11" max="11"/>
    <col width="13" customWidth="1" style="74" min="12" max="12"/>
    <col width="13" customWidth="1" style="74" min="13" max="13"/>
    <col width="13" customWidth="1" style="74" min="14" max="14"/>
    <col width="13" customWidth="1" style="74" min="15" max="15"/>
    <col width="13" customWidth="1" style="74" min="16" max="16"/>
    <col width="13" customWidth="1" style="74" min="17" max="17"/>
    <col width="13" customWidth="1" style="74" min="18" max="18"/>
    <col width="13" customWidth="1" style="74" min="19" max="19"/>
    <col width="13" customWidth="1" style="74" min="20" max="20"/>
    <col width="13" customWidth="1" style="74" min="21" max="21"/>
    <col width="13" customWidth="1" style="74" min="22" max="22"/>
    <col width="13" customWidth="1" style="74" min="23" max="23"/>
    <col width="13" customWidth="1" style="74" min="24" max="24"/>
    <col width="13" customWidth="1" style="74" min="25" max="25"/>
    <col width="13" customWidth="1" style="74" min="26" max="26"/>
    <col width="16" customWidth="1" style="74" min="27" max="27"/>
  </cols>
  <sheetData>
    <row r="1" ht="45" customHeight="1" s="74">
      <c r="A1" s="148" t="inlineStr">
        <is>
          <t>24-MONTH SCALING P&amp;L WITH STAFFING PHASES</t>
        </is>
      </c>
    </row>
    <row r="2">
      <c r="A2" s="149" t="inlineStr">
        <is>
          <t>Most Likely scenario — Shows exactly when to hire, what to pay, and how profit scales</t>
        </is>
      </c>
    </row>
    <row r="4">
      <c r="A4" s="150" t="n"/>
      <c r="B4" s="151" t="inlineStr"/>
      <c r="C4" s="152" t="inlineStr">
        <is>
          <t>M1</t>
        </is>
      </c>
      <c r="D4" s="152" t="inlineStr">
        <is>
          <t>M2</t>
        </is>
      </c>
      <c r="E4" s="152" t="inlineStr">
        <is>
          <t>M3</t>
        </is>
      </c>
      <c r="F4" s="152" t="inlineStr">
        <is>
          <t>M4</t>
        </is>
      </c>
      <c r="G4" s="152" t="inlineStr">
        <is>
          <t>M5</t>
        </is>
      </c>
      <c r="H4" s="152" t="inlineStr">
        <is>
          <t>M6</t>
        </is>
      </c>
      <c r="I4" s="152" t="inlineStr">
        <is>
          <t>M7</t>
        </is>
      </c>
      <c r="J4" s="152" t="inlineStr">
        <is>
          <t>M8</t>
        </is>
      </c>
      <c r="K4" s="152" t="inlineStr">
        <is>
          <t>M9</t>
        </is>
      </c>
      <c r="L4" s="152" t="inlineStr">
        <is>
          <t>M10</t>
        </is>
      </c>
      <c r="M4" s="152" t="inlineStr">
        <is>
          <t>M11</t>
        </is>
      </c>
      <c r="N4" s="152" t="inlineStr">
        <is>
          <t>M12</t>
        </is>
      </c>
      <c r="O4" s="152" t="inlineStr">
        <is>
          <t>M13</t>
        </is>
      </c>
      <c r="P4" s="152" t="inlineStr">
        <is>
          <t>M14</t>
        </is>
      </c>
      <c r="Q4" s="152" t="inlineStr">
        <is>
          <t>M15</t>
        </is>
      </c>
      <c r="R4" s="152" t="inlineStr">
        <is>
          <t>M16</t>
        </is>
      </c>
      <c r="S4" s="152" t="inlineStr">
        <is>
          <t>M17</t>
        </is>
      </c>
      <c r="T4" s="152" t="inlineStr">
        <is>
          <t>M18</t>
        </is>
      </c>
      <c r="U4" s="152" t="inlineStr">
        <is>
          <t>M19</t>
        </is>
      </c>
      <c r="V4" s="152" t="inlineStr">
        <is>
          <t>M20</t>
        </is>
      </c>
      <c r="W4" s="152" t="inlineStr">
        <is>
          <t>M21</t>
        </is>
      </c>
      <c r="X4" s="152" t="inlineStr">
        <is>
          <t>M22</t>
        </is>
      </c>
      <c r="Y4" s="152" t="inlineStr">
        <is>
          <t>M23</t>
        </is>
      </c>
      <c r="Z4" s="152" t="inlineStr">
        <is>
          <t>M24</t>
        </is>
      </c>
      <c r="AA4" s="152" t="inlineStr">
        <is>
          <t>TOTAL</t>
        </is>
      </c>
    </row>
    <row r="5">
      <c r="A5" s="150" t="n"/>
      <c r="B5" s="153" t="inlineStr">
        <is>
          <t>PHASE</t>
        </is>
      </c>
      <c r="C5" s="154" t="inlineStr">
        <is>
          <t>PHASE 1: Solo</t>
        </is>
      </c>
      <c r="D5" s="198" t="n"/>
      <c r="E5" s="199" t="n"/>
      <c r="F5" s="156" t="inlineStr">
        <is>
          <t>PHASE 2: +Closer 1</t>
        </is>
      </c>
      <c r="G5" s="198" t="n"/>
      <c r="H5" s="199" t="n"/>
      <c r="I5" s="158" t="inlineStr">
        <is>
          <t>PHASE 3: +VA +Closer 2</t>
        </is>
      </c>
      <c r="J5" s="198" t="n"/>
      <c r="K5" s="199" t="n"/>
      <c r="L5" s="160" t="inlineStr">
        <is>
          <t>PHASE 4: +Sales Mgr</t>
        </is>
      </c>
      <c r="M5" s="198" t="n"/>
      <c r="N5" s="199" t="n"/>
      <c r="O5" s="160" t="inlineStr">
        <is>
          <t>PHASE 4 cont.</t>
        </is>
      </c>
      <c r="P5" s="198" t="n"/>
      <c r="Q5" s="198" t="n"/>
      <c r="R5" s="198" t="n"/>
      <c r="S5" s="198" t="n"/>
      <c r="T5" s="199" t="n"/>
      <c r="U5" s="152" t="inlineStr">
        <is>
          <t>PHASE 5: Mature</t>
        </is>
      </c>
      <c r="V5" s="198" t="n"/>
      <c r="W5" s="198" t="n"/>
      <c r="X5" s="198" t="n"/>
      <c r="Y5" s="198" t="n"/>
      <c r="Z5" s="199" t="n"/>
      <c r="AA5" s="150" t="n"/>
    </row>
    <row r="6">
      <c r="A6" s="150" t="n"/>
      <c r="B6" s="150" t="n"/>
      <c r="C6" s="150" t="n"/>
      <c r="D6" s="150" t="n"/>
      <c r="E6" s="150" t="n"/>
      <c r="F6" s="150" t="n"/>
      <c r="G6" s="150" t="n"/>
      <c r="H6" s="150" t="n"/>
      <c r="I6" s="150" t="n"/>
      <c r="J6" s="150" t="n"/>
      <c r="K6" s="150" t="n"/>
      <c r="L6" s="150" t="n"/>
      <c r="M6" s="150" t="n"/>
      <c r="N6" s="150" t="n"/>
      <c r="O6" s="150" t="n"/>
      <c r="P6" s="150" t="n"/>
      <c r="Q6" s="150" t="n"/>
      <c r="R6" s="150" t="n"/>
      <c r="S6" s="150" t="n"/>
      <c r="T6" s="150" t="n"/>
      <c r="U6" s="150" t="n"/>
      <c r="V6" s="150" t="n"/>
      <c r="W6" s="150" t="n"/>
      <c r="X6" s="150" t="n"/>
      <c r="Y6" s="150" t="n"/>
      <c r="Z6" s="150" t="n"/>
      <c r="AA6" s="150" t="n"/>
    </row>
    <row r="7">
      <c r="A7" s="163" t="inlineStr">
        <is>
          <t>STAFFING</t>
        </is>
      </c>
      <c r="B7" s="199" t="n"/>
      <c r="C7" s="155" t="n"/>
      <c r="D7" s="155" t="n"/>
      <c r="E7" s="155" t="n"/>
      <c r="F7" s="155" t="n"/>
      <c r="G7" s="155" t="n"/>
      <c r="H7" s="155" t="n"/>
      <c r="I7" s="155" t="n"/>
      <c r="J7" s="155" t="n"/>
      <c r="K7" s="155" t="n"/>
      <c r="L7" s="155" t="n"/>
      <c r="M7" s="155" t="n"/>
      <c r="N7" s="155" t="n"/>
      <c r="O7" s="155" t="n"/>
      <c r="P7" s="155" t="n"/>
      <c r="Q7" s="155" t="n"/>
      <c r="R7" s="155" t="n"/>
      <c r="S7" s="155" t="n"/>
      <c r="T7" s="155" t="n"/>
      <c r="U7" s="155" t="n"/>
      <c r="V7" s="155" t="n"/>
      <c r="W7" s="155" t="n"/>
      <c r="X7" s="155" t="n"/>
      <c r="Y7" s="155" t="n"/>
      <c r="Z7" s="155" t="n"/>
      <c r="AA7" s="155" t="n"/>
    </row>
    <row r="8">
      <c r="A8" s="150" t="n"/>
      <c r="B8" s="164" t="inlineStr">
        <is>
          <t>Closers (besides you)</t>
        </is>
      </c>
      <c r="C8" s="165" t="n">
        <v>0</v>
      </c>
      <c r="D8" s="165" t="n">
        <v>0</v>
      </c>
      <c r="E8" s="165" t="n">
        <v>0</v>
      </c>
      <c r="F8" s="165" t="n">
        <v>1</v>
      </c>
      <c r="G8" s="165" t="n">
        <v>1</v>
      </c>
      <c r="H8" s="165" t="n">
        <v>1</v>
      </c>
      <c r="I8" s="165" t="n">
        <v>2</v>
      </c>
      <c r="J8" s="165" t="n">
        <v>2</v>
      </c>
      <c r="K8" s="165" t="n">
        <v>2</v>
      </c>
      <c r="L8" s="165" t="n">
        <v>3</v>
      </c>
      <c r="M8" s="165" t="n">
        <v>3</v>
      </c>
      <c r="N8" s="165" t="n">
        <v>3</v>
      </c>
      <c r="O8" s="165" t="n">
        <v>3</v>
      </c>
      <c r="P8" s="165" t="n">
        <v>3</v>
      </c>
      <c r="Q8" s="165" t="n">
        <v>3</v>
      </c>
      <c r="R8" s="165" t="n">
        <v>4</v>
      </c>
      <c r="S8" s="165" t="n">
        <v>4</v>
      </c>
      <c r="T8" s="165" t="n">
        <v>4</v>
      </c>
      <c r="U8" s="165" t="n">
        <v>4</v>
      </c>
      <c r="V8" s="165" t="n">
        <v>4</v>
      </c>
      <c r="W8" s="165" t="n">
        <v>5</v>
      </c>
      <c r="X8" s="165" t="n">
        <v>5</v>
      </c>
      <c r="Y8" s="165" t="n">
        <v>5</v>
      </c>
      <c r="Z8" s="165" t="n">
        <v>5</v>
      </c>
      <c r="AA8" s="150" t="n"/>
    </row>
    <row r="9">
      <c r="A9" s="150" t="n"/>
      <c r="B9" s="164" t="inlineStr">
        <is>
          <t>VAs / Deal Coordinators</t>
        </is>
      </c>
      <c r="C9" s="165" t="n">
        <v>0</v>
      </c>
      <c r="D9" s="165" t="n">
        <v>0</v>
      </c>
      <c r="E9" s="165" t="n">
        <v>0</v>
      </c>
      <c r="F9" s="165" t="n">
        <v>0</v>
      </c>
      <c r="G9" s="165" t="n">
        <v>0</v>
      </c>
      <c r="H9" s="165" t="n">
        <v>0</v>
      </c>
      <c r="I9" s="165" t="n">
        <v>1</v>
      </c>
      <c r="J9" s="165" t="n">
        <v>1</v>
      </c>
      <c r="K9" s="165" t="n">
        <v>1</v>
      </c>
      <c r="L9" s="165" t="n">
        <v>1</v>
      </c>
      <c r="M9" s="165" t="n">
        <v>1</v>
      </c>
      <c r="N9" s="165" t="n">
        <v>1</v>
      </c>
      <c r="O9" s="165" t="n">
        <v>1</v>
      </c>
      <c r="P9" s="165" t="n">
        <v>1</v>
      </c>
      <c r="Q9" s="165" t="n">
        <v>1</v>
      </c>
      <c r="R9" s="165" t="n">
        <v>2</v>
      </c>
      <c r="S9" s="165" t="n">
        <v>2</v>
      </c>
      <c r="T9" s="165" t="n">
        <v>2</v>
      </c>
      <c r="U9" s="165" t="n">
        <v>2</v>
      </c>
      <c r="V9" s="165" t="n">
        <v>2</v>
      </c>
      <c r="W9" s="165" t="n">
        <v>2</v>
      </c>
      <c r="X9" s="165" t="n">
        <v>2</v>
      </c>
      <c r="Y9" s="165" t="n">
        <v>2</v>
      </c>
      <c r="Z9" s="165" t="n">
        <v>2</v>
      </c>
      <c r="AA9" s="150" t="n"/>
    </row>
    <row r="10">
      <c r="A10" s="150" t="n"/>
      <c r="B10" s="164" t="inlineStr">
        <is>
          <t>Sales Manager</t>
        </is>
      </c>
      <c r="C10" s="165" t="n">
        <v>0</v>
      </c>
      <c r="D10" s="165" t="n">
        <v>0</v>
      </c>
      <c r="E10" s="165" t="n">
        <v>0</v>
      </c>
      <c r="F10" s="165" t="n">
        <v>0</v>
      </c>
      <c r="G10" s="165" t="n">
        <v>0</v>
      </c>
      <c r="H10" s="165" t="n">
        <v>0</v>
      </c>
      <c r="I10" s="165" t="n">
        <v>0</v>
      </c>
      <c r="J10" s="165" t="n">
        <v>0</v>
      </c>
      <c r="K10" s="165" t="n">
        <v>0</v>
      </c>
      <c r="L10" s="165" t="n">
        <v>1</v>
      </c>
      <c r="M10" s="165" t="n">
        <v>1</v>
      </c>
      <c r="N10" s="165" t="n">
        <v>1</v>
      </c>
      <c r="O10" s="165" t="n">
        <v>1</v>
      </c>
      <c r="P10" s="165" t="n">
        <v>1</v>
      </c>
      <c r="Q10" s="165" t="n">
        <v>1</v>
      </c>
      <c r="R10" s="165" t="n">
        <v>1</v>
      </c>
      <c r="S10" s="165" t="n">
        <v>1</v>
      </c>
      <c r="T10" s="165" t="n">
        <v>1</v>
      </c>
      <c r="U10" s="165" t="n">
        <v>1</v>
      </c>
      <c r="V10" s="165" t="n">
        <v>1</v>
      </c>
      <c r="W10" s="165" t="n">
        <v>1</v>
      </c>
      <c r="X10" s="165" t="n">
        <v>1</v>
      </c>
      <c r="Y10" s="165" t="n">
        <v>1</v>
      </c>
      <c r="Z10" s="165" t="n">
        <v>1</v>
      </c>
      <c r="AA10" s="150" t="n"/>
    </row>
    <row r="11">
      <c r="A11" s="150" t="n"/>
      <c r="B11" s="164" t="inlineStr">
        <is>
          <t>Marketing Person</t>
        </is>
      </c>
      <c r="C11" s="165" t="n">
        <v>0</v>
      </c>
      <c r="D11" s="165" t="n">
        <v>0</v>
      </c>
      <c r="E11" s="165" t="n">
        <v>0</v>
      </c>
      <c r="F11" s="165" t="n">
        <v>0</v>
      </c>
      <c r="G11" s="165" t="n">
        <v>0</v>
      </c>
      <c r="H11" s="165" t="n">
        <v>0</v>
      </c>
      <c r="I11" s="165" t="n">
        <v>0</v>
      </c>
      <c r="J11" s="165" t="n">
        <v>0</v>
      </c>
      <c r="K11" s="165" t="n">
        <v>0</v>
      </c>
      <c r="L11" s="165" t="n">
        <v>0</v>
      </c>
      <c r="M11" s="165" t="n">
        <v>0</v>
      </c>
      <c r="N11" s="165" t="n">
        <v>0</v>
      </c>
      <c r="O11" s="165" t="n">
        <v>0</v>
      </c>
      <c r="P11" s="165" t="n">
        <v>0</v>
      </c>
      <c r="Q11" s="165" t="n">
        <v>0</v>
      </c>
      <c r="R11" s="165" t="n">
        <v>0</v>
      </c>
      <c r="S11" s="165" t="n">
        <v>0</v>
      </c>
      <c r="T11" s="165" t="n">
        <v>0</v>
      </c>
      <c r="U11" s="165" t="n">
        <v>1</v>
      </c>
      <c r="V11" s="165" t="n">
        <v>1</v>
      </c>
      <c r="W11" s="165" t="n">
        <v>1</v>
      </c>
      <c r="X11" s="165" t="n">
        <v>1</v>
      </c>
      <c r="Y11" s="165" t="n">
        <v>1</v>
      </c>
      <c r="Z11" s="165" t="n">
        <v>1</v>
      </c>
      <c r="AA11" s="150" t="n"/>
    </row>
    <row r="12">
      <c r="A12" s="150" t="n"/>
      <c r="B12" s="164" t="inlineStr">
        <is>
          <t>Renewals Specialist</t>
        </is>
      </c>
      <c r="C12" s="165" t="n">
        <v>0</v>
      </c>
      <c r="D12" s="165" t="n">
        <v>0</v>
      </c>
      <c r="E12" s="165" t="n">
        <v>0</v>
      </c>
      <c r="F12" s="165" t="n">
        <v>0</v>
      </c>
      <c r="G12" s="165" t="n">
        <v>0</v>
      </c>
      <c r="H12" s="165" t="n">
        <v>0</v>
      </c>
      <c r="I12" s="165" t="n">
        <v>0</v>
      </c>
      <c r="J12" s="165" t="n">
        <v>0</v>
      </c>
      <c r="K12" s="165" t="n">
        <v>0</v>
      </c>
      <c r="L12" s="165" t="n">
        <v>0</v>
      </c>
      <c r="M12" s="165" t="n">
        <v>0</v>
      </c>
      <c r="N12" s="165" t="n">
        <v>1</v>
      </c>
      <c r="O12" s="165" t="n">
        <v>1</v>
      </c>
      <c r="P12" s="165" t="n">
        <v>1</v>
      </c>
      <c r="Q12" s="165" t="n">
        <v>1</v>
      </c>
      <c r="R12" s="165" t="n">
        <v>1</v>
      </c>
      <c r="S12" s="165" t="n">
        <v>1</v>
      </c>
      <c r="T12" s="165" t="n">
        <v>1</v>
      </c>
      <c r="U12" s="165" t="n">
        <v>1</v>
      </c>
      <c r="V12" s="165" t="n">
        <v>1</v>
      </c>
      <c r="W12" s="165" t="n">
        <v>1</v>
      </c>
      <c r="X12" s="165" t="n">
        <v>1</v>
      </c>
      <c r="Y12" s="165" t="n">
        <v>1</v>
      </c>
      <c r="Z12" s="165" t="n">
        <v>1</v>
      </c>
      <c r="AA12" s="150" t="n"/>
    </row>
    <row r="13">
      <c r="A13" s="150" t="n"/>
      <c r="B13" s="166" t="inlineStr">
        <is>
          <t>Total Team Size</t>
        </is>
      </c>
      <c r="C13" s="167">
        <f>SUM(C8:C12)</f>
        <v/>
      </c>
      <c r="D13" s="167">
        <f>SUM(D8:D12)</f>
        <v/>
      </c>
      <c r="E13" s="167">
        <f>SUM(E8:E12)</f>
        <v/>
      </c>
      <c r="F13" s="167">
        <f>SUM(F8:F12)</f>
        <v/>
      </c>
      <c r="G13" s="167">
        <f>SUM(G8:G12)</f>
        <v/>
      </c>
      <c r="H13" s="167">
        <f>SUM(H8:H12)</f>
        <v/>
      </c>
      <c r="I13" s="167">
        <f>SUM(I8:I12)</f>
        <v/>
      </c>
      <c r="J13" s="167">
        <f>SUM(J8:J12)</f>
        <v/>
      </c>
      <c r="K13" s="167">
        <f>SUM(K8:K12)</f>
        <v/>
      </c>
      <c r="L13" s="167">
        <f>SUM(L8:L12)</f>
        <v/>
      </c>
      <c r="M13" s="167">
        <f>SUM(M8:M12)</f>
        <v/>
      </c>
      <c r="N13" s="167">
        <f>SUM(N8:N12)</f>
        <v/>
      </c>
      <c r="O13" s="167">
        <f>SUM(O8:O12)</f>
        <v/>
      </c>
      <c r="P13" s="167">
        <f>SUM(P8:P12)</f>
        <v/>
      </c>
      <c r="Q13" s="167">
        <f>SUM(Q8:Q12)</f>
        <v/>
      </c>
      <c r="R13" s="167">
        <f>SUM(R8:R12)</f>
        <v/>
      </c>
      <c r="S13" s="167">
        <f>SUM(S8:S12)</f>
        <v/>
      </c>
      <c r="T13" s="167">
        <f>SUM(T8:T12)</f>
        <v/>
      </c>
      <c r="U13" s="167">
        <f>SUM(U8:U12)</f>
        <v/>
      </c>
      <c r="V13" s="167">
        <f>SUM(V8:V12)</f>
        <v/>
      </c>
      <c r="W13" s="167">
        <f>SUM(W8:W12)</f>
        <v/>
      </c>
      <c r="X13" s="167">
        <f>SUM(X8:X12)</f>
        <v/>
      </c>
      <c r="Y13" s="167">
        <f>SUM(Y8:Y12)</f>
        <v/>
      </c>
      <c r="Z13" s="167">
        <f>SUM(Z8:Z12)</f>
        <v/>
      </c>
      <c r="AA13" s="150" t="n"/>
    </row>
    <row r="14">
      <c r="A14" s="150" t="n"/>
      <c r="B14" s="150" t="n"/>
      <c r="C14" s="150" t="n"/>
      <c r="D14" s="150" t="n"/>
      <c r="E14" s="150" t="n"/>
      <c r="F14" s="150" t="n"/>
      <c r="G14" s="150" t="n"/>
      <c r="H14" s="150" t="n"/>
      <c r="I14" s="150" t="n"/>
      <c r="J14" s="150" t="n"/>
      <c r="K14" s="150" t="n"/>
      <c r="L14" s="150" t="n"/>
      <c r="M14" s="150" t="n"/>
      <c r="N14" s="150" t="n"/>
      <c r="O14" s="150" t="n"/>
      <c r="P14" s="150" t="n"/>
      <c r="Q14" s="150" t="n"/>
      <c r="R14" s="150" t="n"/>
      <c r="S14" s="150" t="n"/>
      <c r="T14" s="150" t="n"/>
      <c r="U14" s="150" t="n"/>
      <c r="V14" s="150" t="n"/>
      <c r="W14" s="150" t="n"/>
      <c r="X14" s="150" t="n"/>
      <c r="Y14" s="150" t="n"/>
      <c r="Z14" s="150" t="n"/>
      <c r="AA14" s="150" t="n"/>
    </row>
    <row r="15">
      <c r="A15" s="168" t="inlineStr">
        <is>
          <t>LEAD VOLUME</t>
        </is>
      </c>
      <c r="B15" s="199" t="n"/>
      <c r="C15" s="161" t="n"/>
      <c r="D15" s="161" t="n"/>
      <c r="E15" s="161" t="n"/>
      <c r="F15" s="161" t="n"/>
      <c r="G15" s="161" t="n"/>
      <c r="H15" s="161" t="n"/>
      <c r="I15" s="161" t="n"/>
      <c r="J15" s="161" t="n"/>
      <c r="K15" s="161" t="n"/>
      <c r="L15" s="161" t="n"/>
      <c r="M15" s="161" t="n"/>
      <c r="N15" s="161" t="n"/>
      <c r="O15" s="161" t="n"/>
      <c r="P15" s="161" t="n"/>
      <c r="Q15" s="161" t="n"/>
      <c r="R15" s="161" t="n"/>
      <c r="S15" s="161" t="n"/>
      <c r="T15" s="161" t="n"/>
      <c r="U15" s="161" t="n"/>
      <c r="V15" s="161" t="n"/>
      <c r="W15" s="161" t="n"/>
      <c r="X15" s="161" t="n"/>
      <c r="Y15" s="161" t="n"/>
      <c r="Z15" s="161" t="n"/>
      <c r="AA15" s="161" t="n"/>
    </row>
    <row r="16">
      <c r="A16" s="150" t="n"/>
      <c r="B16" s="164" t="inlineStr">
        <is>
          <t>Leads / Month</t>
        </is>
      </c>
      <c r="C16" s="165" t="n">
        <v>35</v>
      </c>
      <c r="D16" s="165" t="n">
        <v>50</v>
      </c>
      <c r="E16" s="165" t="n">
        <v>70</v>
      </c>
      <c r="F16" s="165" t="n">
        <v>100</v>
      </c>
      <c r="G16" s="165" t="n">
        <v>100</v>
      </c>
      <c r="H16" s="165" t="n">
        <v>100</v>
      </c>
      <c r="I16" s="165" t="n">
        <v>140</v>
      </c>
      <c r="J16" s="165" t="n">
        <v>140</v>
      </c>
      <c r="K16" s="165" t="n">
        <v>150</v>
      </c>
      <c r="L16" s="165" t="n">
        <v>180</v>
      </c>
      <c r="M16" s="165" t="n">
        <v>200</v>
      </c>
      <c r="N16" s="165" t="n">
        <v>200</v>
      </c>
      <c r="O16" s="165" t="n">
        <v>200</v>
      </c>
      <c r="P16" s="165" t="n">
        <v>200</v>
      </c>
      <c r="Q16" s="165" t="n">
        <v>200</v>
      </c>
      <c r="R16" s="165" t="n">
        <v>230</v>
      </c>
      <c r="S16" s="165" t="n">
        <v>250</v>
      </c>
      <c r="T16" s="165" t="n">
        <v>250</v>
      </c>
      <c r="U16" s="165" t="n">
        <v>250</v>
      </c>
      <c r="V16" s="165" t="n">
        <v>250</v>
      </c>
      <c r="W16" s="165" t="n">
        <v>280</v>
      </c>
      <c r="X16" s="165" t="n">
        <v>280</v>
      </c>
      <c r="Y16" s="165" t="n">
        <v>300</v>
      </c>
      <c r="Z16" s="165" t="n">
        <v>300</v>
      </c>
      <c r="AA16" s="169">
        <f>SUM(C16:Z16)</f>
        <v/>
      </c>
    </row>
    <row r="17">
      <c r="A17" s="150" t="n"/>
      <c r="B17" s="150" t="n"/>
      <c r="C17" s="150" t="n"/>
      <c r="D17" s="150" t="n"/>
      <c r="E17" s="150" t="n"/>
      <c r="F17" s="150" t="n"/>
      <c r="G17" s="150" t="n"/>
      <c r="H17" s="150" t="n"/>
      <c r="I17" s="150" t="n"/>
      <c r="J17" s="150" t="n"/>
      <c r="K17" s="150" t="n"/>
      <c r="L17" s="150" t="n"/>
      <c r="M17" s="150" t="n"/>
      <c r="N17" s="150" t="n"/>
      <c r="O17" s="150" t="n"/>
      <c r="P17" s="150" t="n"/>
      <c r="Q17" s="150" t="n"/>
      <c r="R17" s="150" t="n"/>
      <c r="S17" s="150" t="n"/>
      <c r="T17" s="150" t="n"/>
      <c r="U17" s="150" t="n"/>
      <c r="V17" s="150" t="n"/>
      <c r="W17" s="150" t="n"/>
      <c r="X17" s="150" t="n"/>
      <c r="Y17" s="150" t="n"/>
      <c r="Z17" s="150" t="n"/>
      <c r="AA17" s="150" t="n"/>
    </row>
    <row r="18">
      <c r="A18" s="170" t="inlineStr">
        <is>
          <t>DEALS FUNDED</t>
        </is>
      </c>
      <c r="B18" s="199" t="n"/>
      <c r="C18" s="159" t="n"/>
      <c r="D18" s="159" t="n"/>
      <c r="E18" s="159" t="n"/>
      <c r="F18" s="159" t="n"/>
      <c r="G18" s="159" t="n"/>
      <c r="H18" s="159" t="n"/>
      <c r="I18" s="159" t="n"/>
      <c r="J18" s="159" t="n"/>
      <c r="K18" s="159" t="n"/>
      <c r="L18" s="159" t="n"/>
      <c r="M18" s="159" t="n"/>
      <c r="N18" s="159" t="n"/>
      <c r="O18" s="159" t="n"/>
      <c r="P18" s="159" t="n"/>
      <c r="Q18" s="159" t="n"/>
      <c r="R18" s="159" t="n"/>
      <c r="S18" s="159" t="n"/>
      <c r="T18" s="159" t="n"/>
      <c r="U18" s="159" t="n"/>
      <c r="V18" s="159" t="n"/>
      <c r="W18" s="159" t="n"/>
      <c r="X18" s="159" t="n"/>
      <c r="Y18" s="159" t="n"/>
      <c r="Z18" s="159" t="n"/>
      <c r="AA18" s="159" t="n"/>
    </row>
    <row r="19">
      <c r="A19" s="150" t="n"/>
      <c r="B19" s="164" t="inlineStr">
        <is>
          <t>Conversion Rate (lead to fund)</t>
        </is>
      </c>
      <c r="C19" s="171" t="n">
        <v>0.08</v>
      </c>
      <c r="D19" s="171" t="n">
        <v>0.09</v>
      </c>
      <c r="E19" s="171" t="n">
        <v>0.1</v>
      </c>
      <c r="F19" s="171" t="n">
        <v>0.1</v>
      </c>
      <c r="G19" s="171" t="n">
        <v>0.11</v>
      </c>
      <c r="H19" s="171" t="n">
        <v>0.11</v>
      </c>
      <c r="I19" s="171" t="n">
        <v>0.11</v>
      </c>
      <c r="J19" s="171" t="n">
        <v>0.12</v>
      </c>
      <c r="K19" s="171" t="n">
        <v>0.12</v>
      </c>
      <c r="L19" s="171" t="n">
        <v>0.12</v>
      </c>
      <c r="M19" s="171" t="n">
        <v>0.12</v>
      </c>
      <c r="N19" s="171" t="n">
        <v>0.12</v>
      </c>
      <c r="O19" s="171" t="n">
        <v>0.12</v>
      </c>
      <c r="P19" s="171" t="n">
        <v>0.12</v>
      </c>
      <c r="Q19" s="171" t="n">
        <v>0.12</v>
      </c>
      <c r="R19" s="171" t="n">
        <v>0.13</v>
      </c>
      <c r="S19" s="171" t="n">
        <v>0.13</v>
      </c>
      <c r="T19" s="171" t="n">
        <v>0.13</v>
      </c>
      <c r="U19" s="171" t="n">
        <v>0.13</v>
      </c>
      <c r="V19" s="171" t="n">
        <v>0.13</v>
      </c>
      <c r="W19" s="171" t="n">
        <v>0.14</v>
      </c>
      <c r="X19" s="171" t="n">
        <v>0.14</v>
      </c>
      <c r="Y19" s="171" t="n">
        <v>0.14</v>
      </c>
      <c r="Z19" s="171" t="n">
        <v>0.14</v>
      </c>
      <c r="AA19" s="150" t="n"/>
    </row>
    <row r="20">
      <c r="A20" s="150" t="n"/>
      <c r="B20" s="151" t="inlineStr">
        <is>
          <t>New Deals Funded</t>
        </is>
      </c>
      <c r="C20" s="172">
        <f>C16*C19</f>
        <v/>
      </c>
      <c r="D20" s="172">
        <f>D16*D19</f>
        <v/>
      </c>
      <c r="E20" s="172">
        <f>E16*E19</f>
        <v/>
      </c>
      <c r="F20" s="172">
        <f>F16*F19</f>
        <v/>
      </c>
      <c r="G20" s="172">
        <f>G16*G19</f>
        <v/>
      </c>
      <c r="H20" s="172">
        <f>H16*H19</f>
        <v/>
      </c>
      <c r="I20" s="172">
        <f>I16*I19</f>
        <v/>
      </c>
      <c r="J20" s="172">
        <f>J16*J19</f>
        <v/>
      </c>
      <c r="K20" s="172">
        <f>K16*K19</f>
        <v/>
      </c>
      <c r="L20" s="172">
        <f>L16*L19</f>
        <v/>
      </c>
      <c r="M20" s="172">
        <f>M16*M19</f>
        <v/>
      </c>
      <c r="N20" s="172">
        <f>N16*N19</f>
        <v/>
      </c>
      <c r="O20" s="172">
        <f>O16*O19</f>
        <v/>
      </c>
      <c r="P20" s="172">
        <f>P16*P19</f>
        <v/>
      </c>
      <c r="Q20" s="172">
        <f>Q16*Q19</f>
        <v/>
      </c>
      <c r="R20" s="172">
        <f>R16*R19</f>
        <v/>
      </c>
      <c r="S20" s="172">
        <f>S16*S19</f>
        <v/>
      </c>
      <c r="T20" s="172">
        <f>T16*T19</f>
        <v/>
      </c>
      <c r="U20" s="172">
        <f>U16*U19</f>
        <v/>
      </c>
      <c r="V20" s="172">
        <f>V16*V19</f>
        <v/>
      </c>
      <c r="W20" s="172">
        <f>W16*W19</f>
        <v/>
      </c>
      <c r="X20" s="172">
        <f>X16*X19</f>
        <v/>
      </c>
      <c r="Y20" s="172">
        <f>Y16*Y19</f>
        <v/>
      </c>
      <c r="Z20" s="172">
        <f>Z16*Z19</f>
        <v/>
      </c>
      <c r="AA20" s="173">
        <f>SUM(C20:Z20)</f>
        <v/>
      </c>
    </row>
    <row r="21">
      <c r="A21" s="150" t="n"/>
      <c r="B21" s="164" t="inlineStr">
        <is>
          <t>Renewal Deals</t>
        </is>
      </c>
      <c r="C21" s="174" t="n">
        <v>0</v>
      </c>
      <c r="D21" s="174" t="n">
        <v>0</v>
      </c>
      <c r="E21" s="174" t="n">
        <v>0</v>
      </c>
      <c r="F21" s="174" t="n">
        <v>0</v>
      </c>
      <c r="G21" s="174" t="n">
        <v>0</v>
      </c>
      <c r="H21" s="174" t="n">
        <v>0</v>
      </c>
      <c r="I21" s="175">
        <f>C20*0.45</f>
        <v/>
      </c>
      <c r="J21" s="175">
        <f>D20*0.45</f>
        <v/>
      </c>
      <c r="K21" s="175">
        <f>E20*0.45</f>
        <v/>
      </c>
      <c r="L21" s="175">
        <f>F20*0.45</f>
        <v/>
      </c>
      <c r="M21" s="175">
        <f>G20*0.45</f>
        <v/>
      </c>
      <c r="N21" s="175">
        <f>H20*0.45</f>
        <v/>
      </c>
      <c r="O21" s="175">
        <f>I20*0.45</f>
        <v/>
      </c>
      <c r="P21" s="175">
        <f>J20*0.45</f>
        <v/>
      </c>
      <c r="Q21" s="175">
        <f>K20*0.45</f>
        <v/>
      </c>
      <c r="R21" s="175">
        <f>L20*0.45</f>
        <v/>
      </c>
      <c r="S21" s="175">
        <f>M20*0.45</f>
        <v/>
      </c>
      <c r="T21" s="175">
        <f>N20*0.45</f>
        <v/>
      </c>
      <c r="U21" s="175">
        <f>O20*0.45</f>
        <v/>
      </c>
      <c r="V21" s="175">
        <f>P20*0.45</f>
        <v/>
      </c>
      <c r="W21" s="175">
        <f>Q20*0.45</f>
        <v/>
      </c>
      <c r="X21" s="175">
        <f>R20*0.45</f>
        <v/>
      </c>
      <c r="Y21" s="175">
        <f>S20*0.45</f>
        <v/>
      </c>
      <c r="Z21" s="175">
        <f>T20*0.45</f>
        <v/>
      </c>
      <c r="AA21" s="173">
        <f>SUM(C21:Z21)</f>
        <v/>
      </c>
    </row>
    <row r="22">
      <c r="A22" s="150" t="n"/>
      <c r="B22" s="176" t="inlineStr">
        <is>
          <t>Total Deals</t>
        </is>
      </c>
      <c r="C22" s="177">
        <f>C20+C21</f>
        <v/>
      </c>
      <c r="D22" s="177">
        <f>D20+D21</f>
        <v/>
      </c>
      <c r="E22" s="177">
        <f>E20+E21</f>
        <v/>
      </c>
      <c r="F22" s="177">
        <f>F20+F21</f>
        <v/>
      </c>
      <c r="G22" s="177">
        <f>G20+G21</f>
        <v/>
      </c>
      <c r="H22" s="177">
        <f>H20+H21</f>
        <v/>
      </c>
      <c r="I22" s="177">
        <f>I20+I21</f>
        <v/>
      </c>
      <c r="J22" s="177">
        <f>J20+J21</f>
        <v/>
      </c>
      <c r="K22" s="177">
        <f>K20+K21</f>
        <v/>
      </c>
      <c r="L22" s="177">
        <f>L20+L21</f>
        <v/>
      </c>
      <c r="M22" s="177">
        <f>M20+M21</f>
        <v/>
      </c>
      <c r="N22" s="177">
        <f>N20+N21</f>
        <v/>
      </c>
      <c r="O22" s="177">
        <f>O20+O21</f>
        <v/>
      </c>
      <c r="P22" s="177">
        <f>P20+P21</f>
        <v/>
      </c>
      <c r="Q22" s="177">
        <f>Q20+Q21</f>
        <v/>
      </c>
      <c r="R22" s="177">
        <f>R20+R21</f>
        <v/>
      </c>
      <c r="S22" s="177">
        <f>S20+S21</f>
        <v/>
      </c>
      <c r="T22" s="177">
        <f>T20+T21</f>
        <v/>
      </c>
      <c r="U22" s="177">
        <f>U20+U21</f>
        <v/>
      </c>
      <c r="V22" s="177">
        <f>V20+V21</f>
        <v/>
      </c>
      <c r="W22" s="177">
        <f>W20+W21</f>
        <v/>
      </c>
      <c r="X22" s="177">
        <f>X20+X21</f>
        <v/>
      </c>
      <c r="Y22" s="177">
        <f>Y20+Y21</f>
        <v/>
      </c>
      <c r="Z22" s="177">
        <f>Z20+Z21</f>
        <v/>
      </c>
      <c r="AA22" s="178">
        <f>SUM(C22:Z22)</f>
        <v/>
      </c>
    </row>
    <row r="23">
      <c r="A23" s="150" t="n"/>
      <c r="B23" s="150" t="n"/>
      <c r="C23" s="150" t="n"/>
      <c r="D23" s="150" t="n"/>
      <c r="E23" s="150" t="n"/>
      <c r="F23" s="150" t="n"/>
      <c r="G23" s="150" t="n"/>
      <c r="H23" s="150" t="n"/>
      <c r="I23" s="150" t="n"/>
      <c r="J23" s="150" t="n"/>
      <c r="K23" s="150" t="n"/>
      <c r="L23" s="150" t="n"/>
      <c r="M23" s="150" t="n"/>
      <c r="N23" s="150" t="n"/>
      <c r="O23" s="150" t="n"/>
      <c r="P23" s="150" t="n"/>
      <c r="Q23" s="150" t="n"/>
      <c r="R23" s="150" t="n"/>
      <c r="S23" s="150" t="n"/>
      <c r="T23" s="150" t="n"/>
      <c r="U23" s="150" t="n"/>
      <c r="V23" s="150" t="n"/>
      <c r="W23" s="150" t="n"/>
      <c r="X23" s="150" t="n"/>
      <c r="Y23" s="150" t="n"/>
      <c r="Z23" s="150" t="n"/>
      <c r="AA23" s="150" t="n"/>
    </row>
    <row r="24">
      <c r="A24" s="170" t="inlineStr">
        <is>
          <t>REVENUE</t>
        </is>
      </c>
      <c r="B24" s="199" t="n"/>
      <c r="C24" s="159" t="n"/>
      <c r="D24" s="159" t="n"/>
      <c r="E24" s="159" t="n"/>
      <c r="F24" s="159" t="n"/>
      <c r="G24" s="159" t="n"/>
      <c r="H24" s="159" t="n"/>
      <c r="I24" s="159" t="n"/>
      <c r="J24" s="159" t="n"/>
      <c r="K24" s="159" t="n"/>
      <c r="L24" s="159" t="n"/>
      <c r="M24" s="159" t="n"/>
      <c r="N24" s="159" t="n"/>
      <c r="O24" s="159" t="n"/>
      <c r="P24" s="159" t="n"/>
      <c r="Q24" s="159" t="n"/>
      <c r="R24" s="159" t="n"/>
      <c r="S24" s="159" t="n"/>
      <c r="T24" s="159" t="n"/>
      <c r="U24" s="159" t="n"/>
      <c r="V24" s="159" t="n"/>
      <c r="W24" s="159" t="n"/>
      <c r="X24" s="159" t="n"/>
      <c r="Y24" s="159" t="n"/>
      <c r="Z24" s="159" t="n"/>
      <c r="AA24" s="159" t="n"/>
    </row>
    <row r="25">
      <c r="A25" s="150" t="n"/>
      <c r="B25" s="164" t="inlineStr">
        <is>
          <t>Avg Deal Size</t>
        </is>
      </c>
      <c r="C25" s="179" t="n">
        <v>50000</v>
      </c>
      <c r="D25" s="179" t="n">
        <v>50000</v>
      </c>
      <c r="E25" s="179" t="n">
        <v>50000</v>
      </c>
      <c r="F25" s="179" t="n">
        <v>50000</v>
      </c>
      <c r="G25" s="179" t="n">
        <v>50000</v>
      </c>
      <c r="H25" s="179" t="n">
        <v>50000</v>
      </c>
      <c r="I25" s="179" t="n">
        <v>50000</v>
      </c>
      <c r="J25" s="179" t="n">
        <v>50000</v>
      </c>
      <c r="K25" s="179" t="n">
        <v>50000</v>
      </c>
      <c r="L25" s="179" t="n">
        <v>50000</v>
      </c>
      <c r="M25" s="179" t="n">
        <v>50000</v>
      </c>
      <c r="N25" s="179" t="n">
        <v>50000</v>
      </c>
      <c r="O25" s="179" t="n">
        <v>50000</v>
      </c>
      <c r="P25" s="179" t="n">
        <v>50000</v>
      </c>
      <c r="Q25" s="179" t="n">
        <v>50000</v>
      </c>
      <c r="R25" s="179" t="n">
        <v>50000</v>
      </c>
      <c r="S25" s="179" t="n">
        <v>50000</v>
      </c>
      <c r="T25" s="179" t="n">
        <v>50000</v>
      </c>
      <c r="U25" s="179" t="n">
        <v>50000</v>
      </c>
      <c r="V25" s="179" t="n">
        <v>50000</v>
      </c>
      <c r="W25" s="179" t="n">
        <v>50000</v>
      </c>
      <c r="X25" s="179" t="n">
        <v>50000</v>
      </c>
      <c r="Y25" s="179" t="n">
        <v>50000</v>
      </c>
      <c r="Z25" s="179" t="n">
        <v>50000</v>
      </c>
      <c r="AA25" s="150" t="n"/>
    </row>
    <row r="26">
      <c r="A26" s="150" t="n"/>
      <c r="B26" s="164" t="inlineStr">
        <is>
          <t>Commission Points</t>
        </is>
      </c>
      <c r="C26" s="171" t="n">
        <v>0.08</v>
      </c>
      <c r="D26" s="171" t="n">
        <v>0.08</v>
      </c>
      <c r="E26" s="171" t="n">
        <v>0.08</v>
      </c>
      <c r="F26" s="171" t="n">
        <v>0.08</v>
      </c>
      <c r="G26" s="171" t="n">
        <v>0.08</v>
      </c>
      <c r="H26" s="171" t="n">
        <v>0.08</v>
      </c>
      <c r="I26" s="171" t="n">
        <v>0.08</v>
      </c>
      <c r="J26" s="171" t="n">
        <v>0.08</v>
      </c>
      <c r="K26" s="171" t="n">
        <v>0.08</v>
      </c>
      <c r="L26" s="171" t="n">
        <v>0.08</v>
      </c>
      <c r="M26" s="171" t="n">
        <v>0.08</v>
      </c>
      <c r="N26" s="171" t="n">
        <v>0.08</v>
      </c>
      <c r="O26" s="171" t="n">
        <v>0.08</v>
      </c>
      <c r="P26" s="171" t="n">
        <v>0.08</v>
      </c>
      <c r="Q26" s="171" t="n">
        <v>0.08</v>
      </c>
      <c r="R26" s="171" t="n">
        <v>0.08</v>
      </c>
      <c r="S26" s="171" t="n">
        <v>0.08</v>
      </c>
      <c r="T26" s="171" t="n">
        <v>0.08</v>
      </c>
      <c r="U26" s="171" t="n">
        <v>0.08</v>
      </c>
      <c r="V26" s="171" t="n">
        <v>0.08</v>
      </c>
      <c r="W26" s="171" t="n">
        <v>0.08</v>
      </c>
      <c r="X26" s="171" t="n">
        <v>0.08</v>
      </c>
      <c r="Y26" s="171" t="n">
        <v>0.08</v>
      </c>
      <c r="Z26" s="171" t="n">
        <v>0.08</v>
      </c>
      <c r="AA26" s="150" t="n"/>
    </row>
    <row r="27">
      <c r="A27" s="150" t="n"/>
      <c r="B27" s="176" t="inlineStr">
        <is>
          <t>GROSS COMMISSION REVENUE</t>
        </is>
      </c>
      <c r="C27" s="180">
        <f>C22*C25*C26</f>
        <v/>
      </c>
      <c r="D27" s="180">
        <f>D22*D25*D26</f>
        <v/>
      </c>
      <c r="E27" s="180">
        <f>E22*E25*E26</f>
        <v/>
      </c>
      <c r="F27" s="180">
        <f>F22*F25*F26</f>
        <v/>
      </c>
      <c r="G27" s="180">
        <f>G22*G25*G26</f>
        <v/>
      </c>
      <c r="H27" s="180">
        <f>H22*H25*H26</f>
        <v/>
      </c>
      <c r="I27" s="180">
        <f>I22*I25*I26</f>
        <v/>
      </c>
      <c r="J27" s="180">
        <f>J22*J25*J26</f>
        <v/>
      </c>
      <c r="K27" s="180">
        <f>K22*K25*K26</f>
        <v/>
      </c>
      <c r="L27" s="180">
        <f>L22*L25*L26</f>
        <v/>
      </c>
      <c r="M27" s="180">
        <f>M22*M25*M26</f>
        <v/>
      </c>
      <c r="N27" s="180">
        <f>N22*N25*N26</f>
        <v/>
      </c>
      <c r="O27" s="180">
        <f>O22*O25*O26</f>
        <v/>
      </c>
      <c r="P27" s="180">
        <f>P22*P25*P26</f>
        <v/>
      </c>
      <c r="Q27" s="180">
        <f>Q22*Q25*Q26</f>
        <v/>
      </c>
      <c r="R27" s="180">
        <f>R22*R25*R26</f>
        <v/>
      </c>
      <c r="S27" s="180">
        <f>S22*S25*S26</f>
        <v/>
      </c>
      <c r="T27" s="180">
        <f>T22*T25*T26</f>
        <v/>
      </c>
      <c r="U27" s="180">
        <f>U22*U25*U26</f>
        <v/>
      </c>
      <c r="V27" s="180">
        <f>V22*V25*V26</f>
        <v/>
      </c>
      <c r="W27" s="180">
        <f>W22*W25*W26</f>
        <v/>
      </c>
      <c r="X27" s="180">
        <f>X22*X25*X26</f>
        <v/>
      </c>
      <c r="Y27" s="180">
        <f>Y22*Y25*Y26</f>
        <v/>
      </c>
      <c r="Z27" s="180">
        <f>Z22*Z25*Z26</f>
        <v/>
      </c>
      <c r="AA27" s="181">
        <f>SUM(C27:Z27)</f>
        <v/>
      </c>
    </row>
    <row r="28">
      <c r="A28" s="150" t="n"/>
      <c r="B28" s="150" t="n"/>
      <c r="C28" s="150" t="n"/>
      <c r="D28" s="150" t="n"/>
      <c r="E28" s="150" t="n"/>
      <c r="F28" s="150" t="n"/>
      <c r="G28" s="150" t="n"/>
      <c r="H28" s="150" t="n"/>
      <c r="I28" s="150" t="n"/>
      <c r="J28" s="150" t="n"/>
      <c r="K28" s="150" t="n"/>
      <c r="L28" s="150" t="n"/>
      <c r="M28" s="150" t="n"/>
      <c r="N28" s="150" t="n"/>
      <c r="O28" s="150" t="n"/>
      <c r="P28" s="150" t="n"/>
      <c r="Q28" s="150" t="n"/>
      <c r="R28" s="150" t="n"/>
      <c r="S28" s="150" t="n"/>
      <c r="T28" s="150" t="n"/>
      <c r="U28" s="150" t="n"/>
      <c r="V28" s="150" t="n"/>
      <c r="W28" s="150" t="n"/>
      <c r="X28" s="150" t="n"/>
      <c r="Y28" s="150" t="n"/>
      <c r="Z28" s="150" t="n"/>
      <c r="AA28" s="150" t="n"/>
    </row>
    <row r="29">
      <c r="A29" s="182" t="inlineStr">
        <is>
          <t>EXPENSES</t>
        </is>
      </c>
      <c r="B29" s="199" t="n"/>
      <c r="C29" s="183" t="n"/>
      <c r="D29" s="183" t="n"/>
      <c r="E29" s="183" t="n"/>
      <c r="F29" s="183" t="n"/>
      <c r="G29" s="183" t="n"/>
      <c r="H29" s="183" t="n"/>
      <c r="I29" s="183" t="n"/>
      <c r="J29" s="183" t="n"/>
      <c r="K29" s="183" t="n"/>
      <c r="L29" s="183" t="n"/>
      <c r="M29" s="183" t="n"/>
      <c r="N29" s="183" t="n"/>
      <c r="O29" s="183" t="n"/>
      <c r="P29" s="183" t="n"/>
      <c r="Q29" s="183" t="n"/>
      <c r="R29" s="183" t="n"/>
      <c r="S29" s="183" t="n"/>
      <c r="T29" s="183" t="n"/>
      <c r="U29" s="183" t="n"/>
      <c r="V29" s="183" t="n"/>
      <c r="W29" s="183" t="n"/>
      <c r="X29" s="183" t="n"/>
      <c r="Y29" s="183" t="n"/>
      <c r="Z29" s="183" t="n"/>
      <c r="AA29" s="183" t="n"/>
    </row>
    <row r="30">
      <c r="A30" s="150" t="n"/>
      <c r="B30" s="164" t="inlineStr">
        <is>
          <t>Lead Acquisition (avg $70/lead)</t>
        </is>
      </c>
      <c r="C30" s="184">
        <f>C16*70</f>
        <v/>
      </c>
      <c r="D30" s="184">
        <f>D16*70</f>
        <v/>
      </c>
      <c r="E30" s="184">
        <f>E16*70</f>
        <v/>
      </c>
      <c r="F30" s="184">
        <f>F16*70</f>
        <v/>
      </c>
      <c r="G30" s="184">
        <f>G16*70</f>
        <v/>
      </c>
      <c r="H30" s="184">
        <f>H16*70</f>
        <v/>
      </c>
      <c r="I30" s="184">
        <f>I16*70</f>
        <v/>
      </c>
      <c r="J30" s="184">
        <f>J16*70</f>
        <v/>
      </c>
      <c r="K30" s="184">
        <f>K16*70</f>
        <v/>
      </c>
      <c r="L30" s="184">
        <f>L16*70</f>
        <v/>
      </c>
      <c r="M30" s="184">
        <f>M16*70</f>
        <v/>
      </c>
      <c r="N30" s="184">
        <f>N16*70</f>
        <v/>
      </c>
      <c r="O30" s="184">
        <f>O16*70</f>
        <v/>
      </c>
      <c r="P30" s="184">
        <f>P16*70</f>
        <v/>
      </c>
      <c r="Q30" s="184">
        <f>Q16*70</f>
        <v/>
      </c>
      <c r="R30" s="184">
        <f>R16*70</f>
        <v/>
      </c>
      <c r="S30" s="184">
        <f>S16*70</f>
        <v/>
      </c>
      <c r="T30" s="184">
        <f>T16*70</f>
        <v/>
      </c>
      <c r="U30" s="184">
        <f>U16*70</f>
        <v/>
      </c>
      <c r="V30" s="184">
        <f>V16*70</f>
        <v/>
      </c>
      <c r="W30" s="184">
        <f>W16*70</f>
        <v/>
      </c>
      <c r="X30" s="184">
        <f>X16*70</f>
        <v/>
      </c>
      <c r="Y30" s="184">
        <f>Y16*70</f>
        <v/>
      </c>
      <c r="Z30" s="184">
        <f>Z16*70</f>
        <v/>
      </c>
      <c r="AA30" s="185">
        <f>SUM(C30:Z30)</f>
        <v/>
      </c>
    </row>
    <row r="31">
      <c r="A31" s="150" t="n"/>
      <c r="B31" s="164" t="inlineStr">
        <is>
          <t>Closer Commissions (50% split)</t>
        </is>
      </c>
      <c r="C31" s="184">
        <f>IF(C8&gt;0,(C8/(C8+1))*C27*0.50,0)</f>
        <v/>
      </c>
      <c r="D31" s="184">
        <f>IF(D8&gt;0,(D8/(D8+1))*D27*0.50,0)</f>
        <v/>
      </c>
      <c r="E31" s="184">
        <f>IF(E8&gt;0,(E8/(E8+1))*E27*0.50,0)</f>
        <v/>
      </c>
      <c r="F31" s="184">
        <f>IF(F8&gt;0,(F8/(F8+1))*F27*0.50,0)</f>
        <v/>
      </c>
      <c r="G31" s="184">
        <f>IF(G8&gt;0,(G8/(G8+1))*G27*0.50,0)</f>
        <v/>
      </c>
      <c r="H31" s="184">
        <f>IF(H8&gt;0,(H8/(H8+1))*H27*0.50,0)</f>
        <v/>
      </c>
      <c r="I31" s="184">
        <f>IF(I8&gt;0,(I8/(I8+1))*I27*0.50,0)</f>
        <v/>
      </c>
      <c r="J31" s="184">
        <f>IF(J8&gt;0,(J8/(J8+1))*J27*0.50,0)</f>
        <v/>
      </c>
      <c r="K31" s="184">
        <f>IF(K8&gt;0,(K8/(K8+1))*K27*0.50,0)</f>
        <v/>
      </c>
      <c r="L31" s="184">
        <f>IF(L8&gt;0,(L8/(L8+1))*L27*0.50,0)</f>
        <v/>
      </c>
      <c r="M31" s="184">
        <f>IF(M8&gt;0,(M8/(M8+1))*M27*0.50,0)</f>
        <v/>
      </c>
      <c r="N31" s="184">
        <f>IF(N8&gt;0,(N8/(N8+1))*N27*0.50,0)</f>
        <v/>
      </c>
      <c r="O31" s="184">
        <f>IF(O8&gt;0,(O8/(O8+1))*O27*0.50,0)</f>
        <v/>
      </c>
      <c r="P31" s="184">
        <f>IF(P8&gt;0,(P8/(P8+1))*P27*0.50,0)</f>
        <v/>
      </c>
      <c r="Q31" s="184">
        <f>IF(Q8&gt;0,(Q8/(Q8+1))*Q27*0.50,0)</f>
        <v/>
      </c>
      <c r="R31" s="184">
        <f>IF(R8&gt;0,(R8/(R8+1))*R27*0.50,0)</f>
        <v/>
      </c>
      <c r="S31" s="184">
        <f>IF(S8&gt;0,(S8/(S8+1))*S27*0.50,0)</f>
        <v/>
      </c>
      <c r="T31" s="184">
        <f>IF(T8&gt;0,(T8/(T8+1))*T27*0.50,0)</f>
        <v/>
      </c>
      <c r="U31" s="184">
        <f>IF(U8&gt;0,(U8/(U8+1))*U27*0.50,0)</f>
        <v/>
      </c>
      <c r="V31" s="184">
        <f>IF(V8&gt;0,(V8/(V8+1))*V27*0.50,0)</f>
        <v/>
      </c>
      <c r="W31" s="184">
        <f>IF(W8&gt;0,(W8/(W8+1))*W27*0.50,0)</f>
        <v/>
      </c>
      <c r="X31" s="184">
        <f>IF(X8&gt;0,(X8/(X8+1))*X27*0.50,0)</f>
        <v/>
      </c>
      <c r="Y31" s="184">
        <f>IF(Y8&gt;0,(Y8/(Y8+1))*Y27*0.50,0)</f>
        <v/>
      </c>
      <c r="Z31" s="184">
        <f>IF(Z8&gt;0,(Z8/(Z8+1))*Z27*0.50,0)</f>
        <v/>
      </c>
      <c r="AA31" s="185">
        <f>SUM(C31:Z31)</f>
        <v/>
      </c>
    </row>
    <row r="32">
      <c r="A32" s="150" t="n"/>
      <c r="B32" s="164" t="inlineStr">
        <is>
          <t>Sales Manager ($3.5K + 7% override)</t>
        </is>
      </c>
      <c r="C32" s="184">
        <f>C10*(3500+C27*0.07)</f>
        <v/>
      </c>
      <c r="D32" s="184">
        <f>D10*(3500+D27*0.07)</f>
        <v/>
      </c>
      <c r="E32" s="184">
        <f>E10*(3500+E27*0.07)</f>
        <v/>
      </c>
      <c r="F32" s="184">
        <f>F10*(3500+F27*0.07)</f>
        <v/>
      </c>
      <c r="G32" s="184">
        <f>G10*(3500+G27*0.07)</f>
        <v/>
      </c>
      <c r="H32" s="184">
        <f>H10*(3500+H27*0.07)</f>
        <v/>
      </c>
      <c r="I32" s="184">
        <f>I10*(3500+I27*0.07)</f>
        <v/>
      </c>
      <c r="J32" s="184">
        <f>J10*(3500+J27*0.07)</f>
        <v/>
      </c>
      <c r="K32" s="184">
        <f>K10*(3500+K27*0.07)</f>
        <v/>
      </c>
      <c r="L32" s="184">
        <f>L10*(3500+L27*0.07)</f>
        <v/>
      </c>
      <c r="M32" s="184">
        <f>M10*(3500+M27*0.07)</f>
        <v/>
      </c>
      <c r="N32" s="184">
        <f>N10*(3500+N27*0.07)</f>
        <v/>
      </c>
      <c r="O32" s="184">
        <f>O10*(3500+O27*0.07)</f>
        <v/>
      </c>
      <c r="P32" s="184">
        <f>P10*(3500+P27*0.07)</f>
        <v/>
      </c>
      <c r="Q32" s="184">
        <f>Q10*(3500+Q27*0.07)</f>
        <v/>
      </c>
      <c r="R32" s="184">
        <f>R10*(3500+R27*0.07)</f>
        <v/>
      </c>
      <c r="S32" s="184">
        <f>S10*(3500+S27*0.07)</f>
        <v/>
      </c>
      <c r="T32" s="184">
        <f>T10*(3500+T27*0.07)</f>
        <v/>
      </c>
      <c r="U32" s="184">
        <f>U10*(3500+U27*0.07)</f>
        <v/>
      </c>
      <c r="V32" s="184">
        <f>V10*(3500+V27*0.07)</f>
        <v/>
      </c>
      <c r="W32" s="184">
        <f>W10*(3500+W27*0.07)</f>
        <v/>
      </c>
      <c r="X32" s="184">
        <f>X10*(3500+X27*0.07)</f>
        <v/>
      </c>
      <c r="Y32" s="184">
        <f>Y10*(3500+Y27*0.07)</f>
        <v/>
      </c>
      <c r="Z32" s="184">
        <f>Z10*(3500+Z27*0.07)</f>
        <v/>
      </c>
      <c r="AA32" s="185">
        <f>SUM(C32:Z32)</f>
        <v/>
      </c>
    </row>
    <row r="33">
      <c r="A33" s="150" t="n"/>
      <c r="B33" s="164" t="inlineStr">
        <is>
          <t>VAs ($1,200/mo each)</t>
        </is>
      </c>
      <c r="C33" s="184">
        <f>C9*1200</f>
        <v/>
      </c>
      <c r="D33" s="184">
        <f>D9*1200</f>
        <v/>
      </c>
      <c r="E33" s="184">
        <f>E9*1200</f>
        <v/>
      </c>
      <c r="F33" s="184">
        <f>F9*1200</f>
        <v/>
      </c>
      <c r="G33" s="184">
        <f>G9*1200</f>
        <v/>
      </c>
      <c r="H33" s="184">
        <f>H9*1200</f>
        <v/>
      </c>
      <c r="I33" s="184">
        <f>I9*1200</f>
        <v/>
      </c>
      <c r="J33" s="184">
        <f>J9*1200</f>
        <v/>
      </c>
      <c r="K33" s="184">
        <f>K9*1200</f>
        <v/>
      </c>
      <c r="L33" s="184">
        <f>L9*1200</f>
        <v/>
      </c>
      <c r="M33" s="184">
        <f>M9*1200</f>
        <v/>
      </c>
      <c r="N33" s="184">
        <f>N9*1200</f>
        <v/>
      </c>
      <c r="O33" s="184">
        <f>O9*1200</f>
        <v/>
      </c>
      <c r="P33" s="184">
        <f>P9*1200</f>
        <v/>
      </c>
      <c r="Q33" s="184">
        <f>Q9*1200</f>
        <v/>
      </c>
      <c r="R33" s="184">
        <f>R9*1200</f>
        <v/>
      </c>
      <c r="S33" s="184">
        <f>S9*1200</f>
        <v/>
      </c>
      <c r="T33" s="184">
        <f>T9*1200</f>
        <v/>
      </c>
      <c r="U33" s="184">
        <f>U9*1200</f>
        <v/>
      </c>
      <c r="V33" s="184">
        <f>V9*1200</f>
        <v/>
      </c>
      <c r="W33" s="184">
        <f>W9*1200</f>
        <v/>
      </c>
      <c r="X33" s="184">
        <f>X9*1200</f>
        <v/>
      </c>
      <c r="Y33" s="184">
        <f>Y9*1200</f>
        <v/>
      </c>
      <c r="Z33" s="184">
        <f>Z9*1200</f>
        <v/>
      </c>
      <c r="AA33" s="185">
        <f>SUM(C33:Z33)</f>
        <v/>
      </c>
    </row>
    <row r="34">
      <c r="A34" s="150" t="n"/>
      <c r="B34" s="164" t="inlineStr">
        <is>
          <t>Renewals Specialist (35% split)</t>
        </is>
      </c>
      <c r="C34" s="184">
        <f>C12*C21*C25*0.06*0.35</f>
        <v/>
      </c>
      <c r="D34" s="184">
        <f>D12*D21*D25*0.06*0.35</f>
        <v/>
      </c>
      <c r="E34" s="184">
        <f>E12*E21*E25*0.06*0.35</f>
        <v/>
      </c>
      <c r="F34" s="184">
        <f>F12*F21*F25*0.06*0.35</f>
        <v/>
      </c>
      <c r="G34" s="184">
        <f>G12*G21*G25*0.06*0.35</f>
        <v/>
      </c>
      <c r="H34" s="184">
        <f>H12*H21*H25*0.06*0.35</f>
        <v/>
      </c>
      <c r="I34" s="184">
        <f>I12*I21*I25*0.06*0.35</f>
        <v/>
      </c>
      <c r="J34" s="184">
        <f>J12*J21*J25*0.06*0.35</f>
        <v/>
      </c>
      <c r="K34" s="184">
        <f>K12*K21*K25*0.06*0.35</f>
        <v/>
      </c>
      <c r="L34" s="184">
        <f>L12*L21*L25*0.06*0.35</f>
        <v/>
      </c>
      <c r="M34" s="184">
        <f>M12*M21*M25*0.06*0.35</f>
        <v/>
      </c>
      <c r="N34" s="184">
        <f>N12*N21*N25*0.06*0.35</f>
        <v/>
      </c>
      <c r="O34" s="184">
        <f>O12*O21*O25*0.06*0.35</f>
        <v/>
      </c>
      <c r="P34" s="184">
        <f>P12*P21*P25*0.06*0.35</f>
        <v/>
      </c>
      <c r="Q34" s="184">
        <f>Q12*Q21*Q25*0.06*0.35</f>
        <v/>
      </c>
      <c r="R34" s="184">
        <f>R12*R21*R25*0.06*0.35</f>
        <v/>
      </c>
      <c r="S34" s="184">
        <f>S12*S21*S25*0.06*0.35</f>
        <v/>
      </c>
      <c r="T34" s="184">
        <f>T12*T21*T25*0.06*0.35</f>
        <v/>
      </c>
      <c r="U34" s="184">
        <f>U12*U21*U25*0.06*0.35</f>
        <v/>
      </c>
      <c r="V34" s="184">
        <f>V12*V21*V25*0.06*0.35</f>
        <v/>
      </c>
      <c r="W34" s="184">
        <f>W12*W21*W25*0.06*0.35</f>
        <v/>
      </c>
      <c r="X34" s="184">
        <f>X12*X21*X25*0.06*0.35</f>
        <v/>
      </c>
      <c r="Y34" s="184">
        <f>Y12*Y21*Y25*0.06*0.35</f>
        <v/>
      </c>
      <c r="Z34" s="184">
        <f>Z12*Z21*Z25*0.06*0.35</f>
        <v/>
      </c>
      <c r="AA34" s="185">
        <f>SUM(C34:Z34)</f>
        <v/>
      </c>
    </row>
    <row r="35">
      <c r="A35" s="150" t="n"/>
      <c r="B35" s="164" t="inlineStr">
        <is>
          <t>Marketing Person ($5K/mo)</t>
        </is>
      </c>
      <c r="C35" s="184">
        <f>C11*5000</f>
        <v/>
      </c>
      <c r="D35" s="184">
        <f>D11*5000</f>
        <v/>
      </c>
      <c r="E35" s="184">
        <f>E11*5000</f>
        <v/>
      </c>
      <c r="F35" s="184">
        <f>F11*5000</f>
        <v/>
      </c>
      <c r="G35" s="184">
        <f>G11*5000</f>
        <v/>
      </c>
      <c r="H35" s="184">
        <f>H11*5000</f>
        <v/>
      </c>
      <c r="I35" s="184">
        <f>I11*5000</f>
        <v/>
      </c>
      <c r="J35" s="184">
        <f>J11*5000</f>
        <v/>
      </c>
      <c r="K35" s="184">
        <f>K11*5000</f>
        <v/>
      </c>
      <c r="L35" s="184">
        <f>L11*5000</f>
        <v/>
      </c>
      <c r="M35" s="184">
        <f>M11*5000</f>
        <v/>
      </c>
      <c r="N35" s="184">
        <f>N11*5000</f>
        <v/>
      </c>
      <c r="O35" s="184">
        <f>O11*5000</f>
        <v/>
      </c>
      <c r="P35" s="184">
        <f>P11*5000</f>
        <v/>
      </c>
      <c r="Q35" s="184">
        <f>Q11*5000</f>
        <v/>
      </c>
      <c r="R35" s="184">
        <f>R11*5000</f>
        <v/>
      </c>
      <c r="S35" s="184">
        <f>S11*5000</f>
        <v/>
      </c>
      <c r="T35" s="184">
        <f>T11*5000</f>
        <v/>
      </c>
      <c r="U35" s="184">
        <f>U11*5000</f>
        <v/>
      </c>
      <c r="V35" s="184">
        <f>V11*5000</f>
        <v/>
      </c>
      <c r="W35" s="184">
        <f>W11*5000</f>
        <v/>
      </c>
      <c r="X35" s="184">
        <f>X11*5000</f>
        <v/>
      </c>
      <c r="Y35" s="184">
        <f>Y11*5000</f>
        <v/>
      </c>
      <c r="Z35" s="184">
        <f>Z11*5000</f>
        <v/>
      </c>
      <c r="AA35" s="185">
        <f>SUM(C35:Z35)</f>
        <v/>
      </c>
    </row>
    <row r="36">
      <c r="A36" s="150" t="n"/>
      <c r="B36" s="164" t="inlineStr">
        <is>
          <t>Fixed Costs (tech + overhead)</t>
        </is>
      </c>
      <c r="C36" s="184">
        <f>1247+C8*150</f>
        <v/>
      </c>
      <c r="D36" s="184">
        <f>1247+D8*150</f>
        <v/>
      </c>
      <c r="E36" s="184">
        <f>1247+E8*150</f>
        <v/>
      </c>
      <c r="F36" s="184">
        <f>1247+F8*150</f>
        <v/>
      </c>
      <c r="G36" s="184">
        <f>1247+G8*150</f>
        <v/>
      </c>
      <c r="H36" s="184">
        <f>1247+H8*150</f>
        <v/>
      </c>
      <c r="I36" s="184">
        <f>1247+I8*150</f>
        <v/>
      </c>
      <c r="J36" s="184">
        <f>1247+J8*150</f>
        <v/>
      </c>
      <c r="K36" s="184">
        <f>1247+K8*150</f>
        <v/>
      </c>
      <c r="L36" s="184">
        <f>1247+L8*150</f>
        <v/>
      </c>
      <c r="M36" s="184">
        <f>1247+M8*150</f>
        <v/>
      </c>
      <c r="N36" s="184">
        <f>1247+N8*150</f>
        <v/>
      </c>
      <c r="O36" s="184">
        <f>1247+O8*150</f>
        <v/>
      </c>
      <c r="P36" s="184">
        <f>1247+P8*150</f>
        <v/>
      </c>
      <c r="Q36" s="184">
        <f>1247+Q8*150</f>
        <v/>
      </c>
      <c r="R36" s="184">
        <f>1247+R8*150</f>
        <v/>
      </c>
      <c r="S36" s="184">
        <f>1247+S8*150</f>
        <v/>
      </c>
      <c r="T36" s="184">
        <f>1247+T8*150</f>
        <v/>
      </c>
      <c r="U36" s="184">
        <f>1247+U8*150</f>
        <v/>
      </c>
      <c r="V36" s="184">
        <f>1247+V8*150</f>
        <v/>
      </c>
      <c r="W36" s="184">
        <f>1247+W8*150</f>
        <v/>
      </c>
      <c r="X36" s="184">
        <f>1247+X8*150</f>
        <v/>
      </c>
      <c r="Y36" s="184">
        <f>1247+Y8*150</f>
        <v/>
      </c>
      <c r="Z36" s="184">
        <f>1247+Z8*150</f>
        <v/>
      </c>
      <c r="AA36" s="185">
        <f>SUM(C36:Z36)</f>
        <v/>
      </c>
    </row>
    <row r="37">
      <c r="A37" s="150" t="n"/>
      <c r="B37" s="164" t="inlineStr">
        <is>
          <t>Closer Draws (ramp-up)</t>
        </is>
      </c>
      <c r="C37" s="179" t="n">
        <v>0</v>
      </c>
      <c r="D37" s="179" t="n">
        <v>0</v>
      </c>
      <c r="E37" s="179" t="n">
        <v>0</v>
      </c>
      <c r="F37" s="179" t="n">
        <v>2500</v>
      </c>
      <c r="G37" s="179" t="n">
        <v>2500</v>
      </c>
      <c r="H37" s="179" t="n">
        <v>2500</v>
      </c>
      <c r="I37" s="179" t="n">
        <v>2500</v>
      </c>
      <c r="J37" s="179" t="n">
        <v>2500</v>
      </c>
      <c r="K37" s="179" t="n">
        <v>2500</v>
      </c>
      <c r="L37" s="179" t="n">
        <v>2500</v>
      </c>
      <c r="M37" s="179" t="n">
        <v>2500</v>
      </c>
      <c r="N37" s="179" t="n">
        <v>2500</v>
      </c>
      <c r="O37" s="179" t="n">
        <v>0</v>
      </c>
      <c r="P37" s="179" t="n">
        <v>0</v>
      </c>
      <c r="Q37" s="179" t="n">
        <v>0</v>
      </c>
      <c r="R37" s="179" t="n">
        <v>2500</v>
      </c>
      <c r="S37" s="179" t="n">
        <v>2500</v>
      </c>
      <c r="T37" s="179" t="n">
        <v>2500</v>
      </c>
      <c r="U37" s="179" t="n">
        <v>0</v>
      </c>
      <c r="V37" s="179" t="n">
        <v>0</v>
      </c>
      <c r="W37" s="179" t="n">
        <v>2500</v>
      </c>
      <c r="X37" s="179" t="n">
        <v>2500</v>
      </c>
      <c r="Y37" s="179" t="n">
        <v>2500</v>
      </c>
      <c r="Z37" s="179" t="n">
        <v>2500</v>
      </c>
      <c r="AA37" s="185">
        <f>SUM(C37:Z37)</f>
        <v/>
      </c>
    </row>
    <row r="38">
      <c r="A38" s="150" t="n"/>
      <c r="B38" s="186" t="inlineStr">
        <is>
          <t>TOTAL EXPENSES</t>
        </is>
      </c>
      <c r="C38" s="187">
        <f>SUM(C30:C37)</f>
        <v/>
      </c>
      <c r="D38" s="187">
        <f>SUM(D30:D37)</f>
        <v/>
      </c>
      <c r="E38" s="187">
        <f>SUM(E30:E37)</f>
        <v/>
      </c>
      <c r="F38" s="187">
        <f>SUM(F30:F37)</f>
        <v/>
      </c>
      <c r="G38" s="187">
        <f>SUM(G30:G37)</f>
        <v/>
      </c>
      <c r="H38" s="187">
        <f>SUM(H30:H37)</f>
        <v/>
      </c>
      <c r="I38" s="187">
        <f>SUM(I30:I37)</f>
        <v/>
      </c>
      <c r="J38" s="187">
        <f>SUM(J30:J37)</f>
        <v/>
      </c>
      <c r="K38" s="187">
        <f>SUM(K30:K37)</f>
        <v/>
      </c>
      <c r="L38" s="187">
        <f>SUM(L30:L37)</f>
        <v/>
      </c>
      <c r="M38" s="187">
        <f>SUM(M30:M37)</f>
        <v/>
      </c>
      <c r="N38" s="187">
        <f>SUM(N30:N37)</f>
        <v/>
      </c>
      <c r="O38" s="187">
        <f>SUM(O30:O37)</f>
        <v/>
      </c>
      <c r="P38" s="187">
        <f>SUM(P30:P37)</f>
        <v/>
      </c>
      <c r="Q38" s="187">
        <f>SUM(Q30:Q37)</f>
        <v/>
      </c>
      <c r="R38" s="187">
        <f>SUM(R30:R37)</f>
        <v/>
      </c>
      <c r="S38" s="187">
        <f>SUM(S30:S37)</f>
        <v/>
      </c>
      <c r="T38" s="187">
        <f>SUM(T30:T37)</f>
        <v/>
      </c>
      <c r="U38" s="187">
        <f>SUM(U30:U37)</f>
        <v/>
      </c>
      <c r="V38" s="187">
        <f>SUM(V30:V37)</f>
        <v/>
      </c>
      <c r="W38" s="187">
        <f>SUM(W30:W37)</f>
        <v/>
      </c>
      <c r="X38" s="187">
        <f>SUM(X30:X37)</f>
        <v/>
      </c>
      <c r="Y38" s="187">
        <f>SUM(Y30:Y37)</f>
        <v/>
      </c>
      <c r="Z38" s="187">
        <f>SUM(Z30:Z37)</f>
        <v/>
      </c>
      <c r="AA38" s="188">
        <f>SUM(C38:Z38)</f>
        <v/>
      </c>
    </row>
    <row r="39">
      <c r="A39" s="150" t="n"/>
      <c r="B39" s="150" t="n"/>
      <c r="C39" s="150" t="n"/>
      <c r="D39" s="150" t="n"/>
      <c r="E39" s="150" t="n"/>
      <c r="F39" s="150" t="n"/>
      <c r="G39" s="150" t="n"/>
      <c r="H39" s="150" t="n"/>
      <c r="I39" s="150" t="n"/>
      <c r="J39" s="150" t="n"/>
      <c r="K39" s="150" t="n"/>
      <c r="L39" s="150" t="n"/>
      <c r="M39" s="150" t="n"/>
      <c r="N39" s="150" t="n"/>
      <c r="O39" s="150" t="n"/>
      <c r="P39" s="150" t="n"/>
      <c r="Q39" s="150" t="n"/>
      <c r="R39" s="150" t="n"/>
      <c r="S39" s="150" t="n"/>
      <c r="T39" s="150" t="n"/>
      <c r="U39" s="150" t="n"/>
      <c r="V39" s="150" t="n"/>
      <c r="W39" s="150" t="n"/>
      <c r="X39" s="150" t="n"/>
      <c r="Y39" s="150" t="n"/>
      <c r="Z39" s="150" t="n"/>
      <c r="AA39" s="150" t="n"/>
    </row>
    <row r="40">
      <c r="A40" s="189" t="inlineStr">
        <is>
          <t>YOUR TAKE-HOME</t>
        </is>
      </c>
      <c r="B40" s="199" t="n"/>
      <c r="C40" s="162" t="n"/>
      <c r="D40" s="162" t="n"/>
      <c r="E40" s="162" t="n"/>
      <c r="F40" s="162" t="n"/>
      <c r="G40" s="162" t="n"/>
      <c r="H40" s="162" t="n"/>
      <c r="I40" s="162" t="n"/>
      <c r="J40" s="162" t="n"/>
      <c r="K40" s="162" t="n"/>
      <c r="L40" s="162" t="n"/>
      <c r="M40" s="162" t="n"/>
      <c r="N40" s="162" t="n"/>
      <c r="O40" s="162" t="n"/>
      <c r="P40" s="162" t="n"/>
      <c r="Q40" s="162" t="n"/>
      <c r="R40" s="162" t="n"/>
      <c r="S40" s="162" t="n"/>
      <c r="T40" s="162" t="n"/>
      <c r="U40" s="162" t="n"/>
      <c r="V40" s="162" t="n"/>
      <c r="W40" s="162" t="n"/>
      <c r="X40" s="162" t="n"/>
      <c r="Y40" s="162" t="n"/>
      <c r="Z40" s="162" t="n"/>
      <c r="AA40" s="162" t="n"/>
    </row>
    <row r="41">
      <c r="A41" s="150" t="n"/>
      <c r="B41" s="190" t="inlineStr">
        <is>
          <t>YOUR MONTHLY NET PROFIT</t>
        </is>
      </c>
      <c r="C41" s="191">
        <f>C27-C38</f>
        <v/>
      </c>
      <c r="D41" s="191">
        <f>D27-D38</f>
        <v/>
      </c>
      <c r="E41" s="191">
        <f>E27-E38</f>
        <v/>
      </c>
      <c r="F41" s="191">
        <f>F27-F38</f>
        <v/>
      </c>
      <c r="G41" s="191">
        <f>G27-G38</f>
        <v/>
      </c>
      <c r="H41" s="191">
        <f>H27-H38</f>
        <v/>
      </c>
      <c r="I41" s="191">
        <f>I27-I38</f>
        <v/>
      </c>
      <c r="J41" s="191">
        <f>J27-J38</f>
        <v/>
      </c>
      <c r="K41" s="191">
        <f>K27-K38</f>
        <v/>
      </c>
      <c r="L41" s="191">
        <f>L27-L38</f>
        <v/>
      </c>
      <c r="M41" s="191">
        <f>M27-M38</f>
        <v/>
      </c>
      <c r="N41" s="191">
        <f>N27-N38</f>
        <v/>
      </c>
      <c r="O41" s="191">
        <f>O27-O38</f>
        <v/>
      </c>
      <c r="P41" s="191">
        <f>P27-P38</f>
        <v/>
      </c>
      <c r="Q41" s="191">
        <f>Q27-Q38</f>
        <v/>
      </c>
      <c r="R41" s="191">
        <f>R27-R38</f>
        <v/>
      </c>
      <c r="S41" s="191">
        <f>S27-S38</f>
        <v/>
      </c>
      <c r="T41" s="191">
        <f>T27-T38</f>
        <v/>
      </c>
      <c r="U41" s="191">
        <f>U27-U38</f>
        <v/>
      </c>
      <c r="V41" s="191">
        <f>V27-V38</f>
        <v/>
      </c>
      <c r="W41" s="191">
        <f>W27-W38</f>
        <v/>
      </c>
      <c r="X41" s="191">
        <f>X27-X38</f>
        <v/>
      </c>
      <c r="Y41" s="191">
        <f>Y27-Y38</f>
        <v/>
      </c>
      <c r="Z41" s="191">
        <f>Z27-Z38</f>
        <v/>
      </c>
      <c r="AA41" s="192">
        <f>SUM(C41:Z41)</f>
        <v/>
      </c>
    </row>
    <row r="42">
      <c r="A42" s="150" t="n"/>
      <c r="B42" s="164" t="inlineStr">
        <is>
          <t>Profit Margin</t>
        </is>
      </c>
      <c r="C42" s="193">
        <f>IF(C27=0,0,C41/C27)</f>
        <v/>
      </c>
      <c r="D42" s="193">
        <f>IF(D27=0,0,D41/D27)</f>
        <v/>
      </c>
      <c r="E42" s="193">
        <f>IF(E27=0,0,E41/E27)</f>
        <v/>
      </c>
      <c r="F42" s="193">
        <f>IF(F27=0,0,F41/F27)</f>
        <v/>
      </c>
      <c r="G42" s="193">
        <f>IF(G27=0,0,G41/G27)</f>
        <v/>
      </c>
      <c r="H42" s="193">
        <f>IF(H27=0,0,H41/H27)</f>
        <v/>
      </c>
      <c r="I42" s="193">
        <f>IF(I27=0,0,I41/I27)</f>
        <v/>
      </c>
      <c r="J42" s="193">
        <f>IF(J27=0,0,J41/J27)</f>
        <v/>
      </c>
      <c r="K42" s="193">
        <f>IF(K27=0,0,K41/K27)</f>
        <v/>
      </c>
      <c r="L42" s="193">
        <f>IF(L27=0,0,L41/L27)</f>
        <v/>
      </c>
      <c r="M42" s="193">
        <f>IF(M27=0,0,M41/M27)</f>
        <v/>
      </c>
      <c r="N42" s="193">
        <f>IF(N27=0,0,N41/N27)</f>
        <v/>
      </c>
      <c r="O42" s="193">
        <f>IF(O27=0,0,O41/O27)</f>
        <v/>
      </c>
      <c r="P42" s="193">
        <f>IF(P27=0,0,P41/P27)</f>
        <v/>
      </c>
      <c r="Q42" s="193">
        <f>IF(Q27=0,0,Q41/Q27)</f>
        <v/>
      </c>
      <c r="R42" s="193">
        <f>IF(R27=0,0,R41/R27)</f>
        <v/>
      </c>
      <c r="S42" s="193">
        <f>IF(S27=0,0,S41/S27)</f>
        <v/>
      </c>
      <c r="T42" s="193">
        <f>IF(T27=0,0,T41/T27)</f>
        <v/>
      </c>
      <c r="U42" s="193">
        <f>IF(U27=0,0,U41/U27)</f>
        <v/>
      </c>
      <c r="V42" s="193">
        <f>IF(V27=0,0,V41/V27)</f>
        <v/>
      </c>
      <c r="W42" s="193">
        <f>IF(W27=0,0,W41/W27)</f>
        <v/>
      </c>
      <c r="X42" s="193">
        <f>IF(X27=0,0,X41/X27)</f>
        <v/>
      </c>
      <c r="Y42" s="193">
        <f>IF(Y27=0,0,Y41/Y27)</f>
        <v/>
      </c>
      <c r="Z42" s="193">
        <f>IF(Z27=0,0,Z41/Z27)</f>
        <v/>
      </c>
      <c r="AA42" s="194">
        <f>IF(AA27=0,0,AA41/AA27)</f>
        <v/>
      </c>
    </row>
    <row r="43">
      <c r="A43" s="150" t="n"/>
      <c r="B43" s="151" t="inlineStr">
        <is>
          <t>Cumulative Net Profit</t>
        </is>
      </c>
      <c r="C43" s="195">
        <f>C41</f>
        <v/>
      </c>
      <c r="D43" s="195">
        <f>C43+D41</f>
        <v/>
      </c>
      <c r="E43" s="195">
        <f>D43+E41</f>
        <v/>
      </c>
      <c r="F43" s="195">
        <f>E43+F41</f>
        <v/>
      </c>
      <c r="G43" s="195">
        <f>F43+G41</f>
        <v/>
      </c>
      <c r="H43" s="195">
        <f>G43+H41</f>
        <v/>
      </c>
      <c r="I43" s="195">
        <f>H43+I41</f>
        <v/>
      </c>
      <c r="J43" s="195">
        <f>I43+J41</f>
        <v/>
      </c>
      <c r="K43" s="195">
        <f>J43+K41</f>
        <v/>
      </c>
      <c r="L43" s="195">
        <f>K43+L41</f>
        <v/>
      </c>
      <c r="M43" s="195">
        <f>L43+M41</f>
        <v/>
      </c>
      <c r="N43" s="195">
        <f>M43+N41</f>
        <v/>
      </c>
      <c r="O43" s="195">
        <f>N43+O41</f>
        <v/>
      </c>
      <c r="P43" s="195">
        <f>O43+P41</f>
        <v/>
      </c>
      <c r="Q43" s="195">
        <f>P43+Q41</f>
        <v/>
      </c>
      <c r="R43" s="195">
        <f>Q43+R41</f>
        <v/>
      </c>
      <c r="S43" s="195">
        <f>R43+S41</f>
        <v/>
      </c>
      <c r="T43" s="195">
        <f>S43+T41</f>
        <v/>
      </c>
      <c r="U43" s="195">
        <f>T43+U41</f>
        <v/>
      </c>
      <c r="V43" s="195">
        <f>U43+V41</f>
        <v/>
      </c>
      <c r="W43" s="195">
        <f>V43+W41</f>
        <v/>
      </c>
      <c r="X43" s="195">
        <f>W43+X41</f>
        <v/>
      </c>
      <c r="Y43" s="195">
        <f>X43+Y41</f>
        <v/>
      </c>
      <c r="Z43" s="195">
        <f>Y43+Z41</f>
        <v/>
      </c>
      <c r="AA43" s="192">
        <f>Z43</f>
        <v/>
      </c>
    </row>
    <row r="44">
      <c r="A44" s="150" t="n"/>
      <c r="B44" s="150" t="n"/>
      <c r="C44" s="150" t="n"/>
      <c r="D44" s="150" t="n"/>
      <c r="E44" s="150" t="n"/>
      <c r="F44" s="150" t="n"/>
      <c r="G44" s="150" t="n"/>
      <c r="H44" s="150" t="n"/>
      <c r="I44" s="150" t="n"/>
      <c r="J44" s="150" t="n"/>
      <c r="K44" s="150" t="n"/>
      <c r="L44" s="150" t="n"/>
      <c r="M44" s="150" t="n"/>
      <c r="N44" s="150" t="n"/>
      <c r="O44" s="150" t="n"/>
      <c r="P44" s="150" t="n"/>
      <c r="Q44" s="150" t="n"/>
      <c r="R44" s="150" t="n"/>
      <c r="S44" s="150" t="n"/>
      <c r="T44" s="150" t="n"/>
      <c r="U44" s="150" t="n"/>
      <c r="V44" s="150" t="n"/>
      <c r="W44" s="150" t="n"/>
      <c r="X44" s="150" t="n"/>
      <c r="Y44" s="150" t="n"/>
      <c r="Z44" s="150" t="n"/>
      <c r="AA44" s="150" t="n"/>
    </row>
    <row r="45">
      <c r="A45" s="196" t="inlineStr">
        <is>
          <t>KEY METRICS</t>
        </is>
      </c>
      <c r="B45" s="199" t="n"/>
      <c r="C45" s="157" t="n"/>
      <c r="D45" s="157" t="n"/>
      <c r="E45" s="157" t="n"/>
      <c r="F45" s="157" t="n"/>
      <c r="G45" s="157" t="n"/>
      <c r="H45" s="157" t="n"/>
      <c r="I45" s="157" t="n"/>
      <c r="J45" s="157" t="n"/>
      <c r="K45" s="157" t="n"/>
      <c r="L45" s="157" t="n"/>
      <c r="M45" s="157" t="n"/>
      <c r="N45" s="157" t="n"/>
      <c r="O45" s="157" t="n"/>
      <c r="P45" s="157" t="n"/>
      <c r="Q45" s="157" t="n"/>
      <c r="R45" s="157" t="n"/>
      <c r="S45" s="157" t="n"/>
      <c r="T45" s="157" t="n"/>
      <c r="U45" s="157" t="n"/>
      <c r="V45" s="157" t="n"/>
      <c r="W45" s="157" t="n"/>
      <c r="X45" s="157" t="n"/>
      <c r="Y45" s="157" t="n"/>
      <c r="Z45" s="157" t="n"/>
      <c r="AA45" s="157" t="n"/>
    </row>
    <row r="46">
      <c r="A46" s="150" t="n"/>
      <c r="B46" s="164" t="inlineStr">
        <is>
          <t>Revenue Per Deal</t>
        </is>
      </c>
      <c r="C46" s="184">
        <f>IF(C22=0,0,C27/C22)</f>
        <v/>
      </c>
      <c r="D46" s="184">
        <f>IF(D22=0,0,D27/D22)</f>
        <v/>
      </c>
      <c r="E46" s="184">
        <f>IF(E22=0,0,E27/E22)</f>
        <v/>
      </c>
      <c r="F46" s="184">
        <f>IF(F22=0,0,F27/F22)</f>
        <v/>
      </c>
      <c r="G46" s="184">
        <f>IF(G22=0,0,G27/G22)</f>
        <v/>
      </c>
      <c r="H46" s="184">
        <f>IF(H22=0,0,H27/H22)</f>
        <v/>
      </c>
      <c r="I46" s="184">
        <f>IF(I22=0,0,I27/I22)</f>
        <v/>
      </c>
      <c r="J46" s="184">
        <f>IF(J22=0,0,J27/J22)</f>
        <v/>
      </c>
      <c r="K46" s="184">
        <f>IF(K22=0,0,K27/K22)</f>
        <v/>
      </c>
      <c r="L46" s="184">
        <f>IF(L22=0,0,L27/L22)</f>
        <v/>
      </c>
      <c r="M46" s="184">
        <f>IF(M22=0,0,M27/M22)</f>
        <v/>
      </c>
      <c r="N46" s="184">
        <f>IF(N22=0,0,N27/N22)</f>
        <v/>
      </c>
      <c r="O46" s="184">
        <f>IF(O22=0,0,O27/O22)</f>
        <v/>
      </c>
      <c r="P46" s="184">
        <f>IF(P22=0,0,P27/P22)</f>
        <v/>
      </c>
      <c r="Q46" s="184">
        <f>IF(Q22=0,0,Q27/Q22)</f>
        <v/>
      </c>
      <c r="R46" s="184">
        <f>IF(R22=0,0,R27/R22)</f>
        <v/>
      </c>
      <c r="S46" s="184">
        <f>IF(S22=0,0,S27/S22)</f>
        <v/>
      </c>
      <c r="T46" s="184">
        <f>IF(T22=0,0,T27/T22)</f>
        <v/>
      </c>
      <c r="U46" s="184">
        <f>IF(U22=0,0,U27/U22)</f>
        <v/>
      </c>
      <c r="V46" s="184">
        <f>IF(V22=0,0,V27/V22)</f>
        <v/>
      </c>
      <c r="W46" s="184">
        <f>IF(W22=0,0,W27/W22)</f>
        <v/>
      </c>
      <c r="X46" s="184">
        <f>IF(X22=0,0,X27/X22)</f>
        <v/>
      </c>
      <c r="Y46" s="184">
        <f>IF(Y22=0,0,Y27/Y22)</f>
        <v/>
      </c>
      <c r="Z46" s="184">
        <f>IF(Z22=0,0,Z27/Z22)</f>
        <v/>
      </c>
      <c r="AA46" s="150" t="n"/>
    </row>
    <row r="47">
      <c r="A47" s="150" t="n"/>
      <c r="B47" s="164" t="inlineStr">
        <is>
          <t>Total Cost Per Deal</t>
        </is>
      </c>
      <c r="C47" s="184">
        <f>IF(C22=0,0,C38/C22)</f>
        <v/>
      </c>
      <c r="D47" s="184">
        <f>IF(D22=0,0,D38/D22)</f>
        <v/>
      </c>
      <c r="E47" s="184">
        <f>IF(E22=0,0,E38/E22)</f>
        <v/>
      </c>
      <c r="F47" s="184">
        <f>IF(F22=0,0,F38/F22)</f>
        <v/>
      </c>
      <c r="G47" s="184">
        <f>IF(G22=0,0,G38/G22)</f>
        <v/>
      </c>
      <c r="H47" s="184">
        <f>IF(H22=0,0,H38/H22)</f>
        <v/>
      </c>
      <c r="I47" s="184">
        <f>IF(I22=0,0,I38/I22)</f>
        <v/>
      </c>
      <c r="J47" s="184">
        <f>IF(J22=0,0,J38/J22)</f>
        <v/>
      </c>
      <c r="K47" s="184">
        <f>IF(K22=0,0,K38/K22)</f>
        <v/>
      </c>
      <c r="L47" s="184">
        <f>IF(L22=0,0,L38/L22)</f>
        <v/>
      </c>
      <c r="M47" s="184">
        <f>IF(M22=0,0,M38/M22)</f>
        <v/>
      </c>
      <c r="N47" s="184">
        <f>IF(N22=0,0,N38/N22)</f>
        <v/>
      </c>
      <c r="O47" s="184">
        <f>IF(O22=0,0,O38/O22)</f>
        <v/>
      </c>
      <c r="P47" s="184">
        <f>IF(P22=0,0,P38/P22)</f>
        <v/>
      </c>
      <c r="Q47" s="184">
        <f>IF(Q22=0,0,Q38/Q22)</f>
        <v/>
      </c>
      <c r="R47" s="184">
        <f>IF(R22=0,0,R38/R22)</f>
        <v/>
      </c>
      <c r="S47" s="184">
        <f>IF(S22=0,0,S38/S22)</f>
        <v/>
      </c>
      <c r="T47" s="184">
        <f>IF(T22=0,0,T38/T22)</f>
        <v/>
      </c>
      <c r="U47" s="184">
        <f>IF(U22=0,0,U38/U22)</f>
        <v/>
      </c>
      <c r="V47" s="184">
        <f>IF(V22=0,0,V38/V22)</f>
        <v/>
      </c>
      <c r="W47" s="184">
        <f>IF(W22=0,0,W38/W22)</f>
        <v/>
      </c>
      <c r="X47" s="184">
        <f>IF(X22=0,0,X38/X22)</f>
        <v/>
      </c>
      <c r="Y47" s="184">
        <f>IF(Y22=0,0,Y38/Y22)</f>
        <v/>
      </c>
      <c r="Z47" s="184">
        <f>IF(Z22=0,0,Z38/Z22)</f>
        <v/>
      </c>
      <c r="AA47" s="150" t="n"/>
    </row>
    <row r="48">
      <c r="A48" s="150" t="n"/>
      <c r="B48" s="151" t="inlineStr">
        <is>
          <t>Your Profit Per Deal</t>
        </is>
      </c>
      <c r="C48" s="197">
        <f>IF(C22=0,0,C41/C22)</f>
        <v/>
      </c>
      <c r="D48" s="197">
        <f>IF(D22=0,0,D41/D22)</f>
        <v/>
      </c>
      <c r="E48" s="197">
        <f>IF(E22=0,0,E41/E22)</f>
        <v/>
      </c>
      <c r="F48" s="197">
        <f>IF(F22=0,0,F41/F22)</f>
        <v/>
      </c>
      <c r="G48" s="197">
        <f>IF(G22=0,0,G41/G22)</f>
        <v/>
      </c>
      <c r="H48" s="197">
        <f>IF(H22=0,0,H41/H22)</f>
        <v/>
      </c>
      <c r="I48" s="197">
        <f>IF(I22=0,0,I41/I22)</f>
        <v/>
      </c>
      <c r="J48" s="197">
        <f>IF(J22=0,0,J41/J22)</f>
        <v/>
      </c>
      <c r="K48" s="197">
        <f>IF(K22=0,0,K41/K22)</f>
        <v/>
      </c>
      <c r="L48" s="197">
        <f>IF(L22=0,0,L41/L22)</f>
        <v/>
      </c>
      <c r="M48" s="197">
        <f>IF(M22=0,0,M41/M22)</f>
        <v/>
      </c>
      <c r="N48" s="197">
        <f>IF(N22=0,0,N41/N22)</f>
        <v/>
      </c>
      <c r="O48" s="197">
        <f>IF(O22=0,0,O41/O22)</f>
        <v/>
      </c>
      <c r="P48" s="197">
        <f>IF(P22=0,0,P41/P22)</f>
        <v/>
      </c>
      <c r="Q48" s="197">
        <f>IF(Q22=0,0,Q41/Q22)</f>
        <v/>
      </c>
      <c r="R48" s="197">
        <f>IF(R22=0,0,R41/R22)</f>
        <v/>
      </c>
      <c r="S48" s="197">
        <f>IF(S22=0,0,S41/S22)</f>
        <v/>
      </c>
      <c r="T48" s="197">
        <f>IF(T22=0,0,T41/T22)</f>
        <v/>
      </c>
      <c r="U48" s="197">
        <f>IF(U22=0,0,U41/U22)</f>
        <v/>
      </c>
      <c r="V48" s="197">
        <f>IF(V22=0,0,V41/V22)</f>
        <v/>
      </c>
      <c r="W48" s="197">
        <f>IF(W22=0,0,W41/W22)</f>
        <v/>
      </c>
      <c r="X48" s="197">
        <f>IF(X22=0,0,X41/X22)</f>
        <v/>
      </c>
      <c r="Y48" s="197">
        <f>IF(Y22=0,0,Y41/Y22)</f>
        <v/>
      </c>
      <c r="Z48" s="197">
        <f>IF(Z22=0,0,Z41/Z22)</f>
        <v/>
      </c>
      <c r="AA48" s="150" t="n"/>
    </row>
    <row r="49">
      <c r="A49" s="150" t="n"/>
      <c r="B49" s="164" t="inlineStr">
        <is>
          <t>Deals Per Closer Per Month</t>
        </is>
      </c>
      <c r="C49" s="175">
        <f>IF(C8+1=0,0,C22/(C8+1))</f>
        <v/>
      </c>
      <c r="D49" s="175">
        <f>IF(D8+1=0,0,D22/(D8+1))</f>
        <v/>
      </c>
      <c r="E49" s="175">
        <f>IF(E8+1=0,0,E22/(E8+1))</f>
        <v/>
      </c>
      <c r="F49" s="175">
        <f>IF(F8+1=0,0,F22/(F8+1))</f>
        <v/>
      </c>
      <c r="G49" s="175">
        <f>IF(G8+1=0,0,G22/(G8+1))</f>
        <v/>
      </c>
      <c r="H49" s="175">
        <f>IF(H8+1=0,0,H22/(H8+1))</f>
        <v/>
      </c>
      <c r="I49" s="175">
        <f>IF(I8+1=0,0,I22/(I8+1))</f>
        <v/>
      </c>
      <c r="J49" s="175">
        <f>IF(J8+1=0,0,J22/(J8+1))</f>
        <v/>
      </c>
      <c r="K49" s="175">
        <f>IF(K8+1=0,0,K22/(K8+1))</f>
        <v/>
      </c>
      <c r="L49" s="175">
        <f>IF(L8+1=0,0,L22/(L8+1))</f>
        <v/>
      </c>
      <c r="M49" s="175">
        <f>IF(M8+1=0,0,M22/(M8+1))</f>
        <v/>
      </c>
      <c r="N49" s="175">
        <f>IF(N8+1=0,0,N22/(N8+1))</f>
        <v/>
      </c>
      <c r="O49" s="175">
        <f>IF(O8+1=0,0,O22/(O8+1))</f>
        <v/>
      </c>
      <c r="P49" s="175">
        <f>IF(P8+1=0,0,P22/(P8+1))</f>
        <v/>
      </c>
      <c r="Q49" s="175">
        <f>IF(Q8+1=0,0,Q22/(Q8+1))</f>
        <v/>
      </c>
      <c r="R49" s="175">
        <f>IF(R8+1=0,0,R22/(R8+1))</f>
        <v/>
      </c>
      <c r="S49" s="175">
        <f>IF(S8+1=0,0,S22/(S8+1))</f>
        <v/>
      </c>
      <c r="T49" s="175">
        <f>IF(T8+1=0,0,T22/(T8+1))</f>
        <v/>
      </c>
      <c r="U49" s="175">
        <f>IF(U8+1=0,0,U22/(U8+1))</f>
        <v/>
      </c>
      <c r="V49" s="175">
        <f>IF(V8+1=0,0,V22/(V8+1))</f>
        <v/>
      </c>
      <c r="W49" s="175">
        <f>IF(W8+1=0,0,W22/(W8+1))</f>
        <v/>
      </c>
      <c r="X49" s="175">
        <f>IF(X8+1=0,0,X22/(X8+1))</f>
        <v/>
      </c>
      <c r="Y49" s="175">
        <f>IF(Y8+1=0,0,Y22/(Y8+1))</f>
        <v/>
      </c>
      <c r="Z49" s="175">
        <f>IF(Z8+1=0,0,Z22/(Z8+1))</f>
        <v/>
      </c>
      <c r="AA49" s="150" t="n"/>
    </row>
    <row r="50">
      <c r="A50" s="150" t="n"/>
      <c r="B50" s="164" t="inlineStr">
        <is>
          <t>Volume Funded (monthly)</t>
        </is>
      </c>
      <c r="C50" s="184">
        <f>C22*C25</f>
        <v/>
      </c>
      <c r="D50" s="184">
        <f>D22*D25</f>
        <v/>
      </c>
      <c r="E50" s="184">
        <f>E22*E25</f>
        <v/>
      </c>
      <c r="F50" s="184">
        <f>F22*F25</f>
        <v/>
      </c>
      <c r="G50" s="184">
        <f>G22*G25</f>
        <v/>
      </c>
      <c r="H50" s="184">
        <f>H22*H25</f>
        <v/>
      </c>
      <c r="I50" s="184">
        <f>I22*I25</f>
        <v/>
      </c>
      <c r="J50" s="184">
        <f>J22*J25</f>
        <v/>
      </c>
      <c r="K50" s="184">
        <f>K22*K25</f>
        <v/>
      </c>
      <c r="L50" s="184">
        <f>L22*L25</f>
        <v/>
      </c>
      <c r="M50" s="184">
        <f>M22*M25</f>
        <v/>
      </c>
      <c r="N50" s="184">
        <f>N22*N25</f>
        <v/>
      </c>
      <c r="O50" s="184">
        <f>O22*O25</f>
        <v/>
      </c>
      <c r="P50" s="184">
        <f>P22*P25</f>
        <v/>
      </c>
      <c r="Q50" s="184">
        <f>Q22*Q25</f>
        <v/>
      </c>
      <c r="R50" s="184">
        <f>R22*R25</f>
        <v/>
      </c>
      <c r="S50" s="184">
        <f>S22*S25</f>
        <v/>
      </c>
      <c r="T50" s="184">
        <f>T22*T25</f>
        <v/>
      </c>
      <c r="U50" s="184">
        <f>U22*U25</f>
        <v/>
      </c>
      <c r="V50" s="184">
        <f>V22*V25</f>
        <v/>
      </c>
      <c r="W50" s="184">
        <f>W22*W25</f>
        <v/>
      </c>
      <c r="X50" s="184">
        <f>X22*X25</f>
        <v/>
      </c>
      <c r="Y50" s="184">
        <f>Y22*Y25</f>
        <v/>
      </c>
      <c r="Z50" s="184">
        <f>Z22*Z25</f>
        <v/>
      </c>
      <c r="AA50" s="185">
        <f>SUM(C50:Z50)</f>
        <v/>
      </c>
    </row>
  </sheetData>
  <mergeCells count="15">
    <mergeCell ref="A24:B24"/>
    <mergeCell ref="U5:Z5"/>
    <mergeCell ref="F5:H5"/>
    <mergeCell ref="C5:E5"/>
    <mergeCell ref="O5:T5"/>
    <mergeCell ref="A7:B7"/>
    <mergeCell ref="A15:B15"/>
    <mergeCell ref="A29:B29"/>
    <mergeCell ref="I5:K5"/>
    <mergeCell ref="L5:N5"/>
    <mergeCell ref="A2:AA2"/>
    <mergeCell ref="A45:B45"/>
    <mergeCell ref="A40:B40"/>
    <mergeCell ref="A18:B18"/>
    <mergeCell ref="A1:AA1"/>
  </mergeCells>
  <pageMargins left="0.75" right="0.75" top="1" bottom="1" header="0.5" footer="0.5"/>
</worksheet>
</file>

<file path=xl/worksheets/sheet7.xml><?xml version="1.0" encoding="utf-8"?>
<worksheet xmlns="http://schemas.openxmlformats.org/spreadsheetml/2006/main">
  <sheetPr>
    <tabColor rgb="00F39C12"/>
    <outlinePr summaryBelow="1" summaryRight="1"/>
    <pageSetUpPr/>
  </sheetPr>
  <dimension ref="A1:H21"/>
  <sheetViews>
    <sheetView workbookViewId="0">
      <selection activeCell="A1" sqref="A1"/>
    </sheetView>
  </sheetViews>
  <sheetFormatPr baseColWidth="8" defaultRowHeight="15"/>
  <cols>
    <col width="4" customWidth="1" style="74" min="1" max="1"/>
    <col width="28" customWidth="1" style="74" min="2" max="2"/>
    <col width="18" customWidth="1" style="74" min="3" max="3"/>
    <col width="22" customWidth="1" style="74" min="4" max="4"/>
    <col width="28" customWidth="1" style="74" min="5" max="5"/>
    <col width="20" customWidth="1" style="74" min="6" max="6"/>
    <col width="22" customWidth="1" style="74" min="7" max="7"/>
    <col width="35" customWidth="1" style="74" min="8" max="8"/>
  </cols>
  <sheetData>
    <row r="1" ht="45" customHeight="1" s="74">
      <c r="A1" s="148" t="inlineStr">
        <is>
          <t>MCA BROKERAGE COMPENSATION GUIDE</t>
        </is>
      </c>
    </row>
    <row r="2">
      <c r="A2" s="149" t="inlineStr">
        <is>
          <t>Industry-standard pay structures for each role in your scaling plan</t>
        </is>
      </c>
    </row>
    <row r="4">
      <c r="A4" s="152" t="inlineStr"/>
      <c r="B4" s="152" t="inlineStr">
        <is>
          <t>Role</t>
        </is>
      </c>
      <c r="C4" s="152" t="inlineStr">
        <is>
          <t>Type</t>
        </is>
      </c>
      <c r="D4" s="152" t="inlineStr">
        <is>
          <t>Base / Fixed</t>
        </is>
      </c>
      <c r="E4" s="152" t="inlineStr">
        <is>
          <t>Variable / Commission</t>
        </is>
      </c>
      <c r="F4" s="152" t="inlineStr">
        <is>
          <t>Expected Monthly Earnings</t>
        </is>
      </c>
      <c r="G4" s="152" t="inlineStr">
        <is>
          <t>Annual OTE</t>
        </is>
      </c>
      <c r="H4" s="152" t="inlineStr">
        <is>
          <t>Key Terms &amp; Notes</t>
        </is>
      </c>
    </row>
    <row r="5" ht="55" customHeight="1" s="74">
      <c r="B5" s="200" t="inlineStr">
        <is>
          <t>MCA Closer (Company Leads)</t>
        </is>
      </c>
      <c r="C5" s="200" t="inlineStr">
        <is>
          <t>1099 IC</t>
        </is>
      </c>
      <c r="D5" s="200" t="inlineStr">
        <is>
          <t>$0 (or $2.5K draw x 90 days)</t>
        </is>
      </c>
      <c r="E5" s="200" t="inlineStr">
        <is>
          <t>40-50% of company commission per funded deal</t>
        </is>
      </c>
      <c r="F5" s="200" t="inlineStr">
        <is>
          <t>$8,000 - $20,000</t>
        </is>
      </c>
      <c r="G5" s="200" t="inlineStr">
        <is>
          <t>$96K - $240K</t>
        </is>
      </c>
      <c r="H5" s="200" t="inlineStr">
        <is>
          <t>Commission-only after draw period. 50/50 split on company leads is industry standard. Draw is recoverable advance, deducted from future earnings.</t>
        </is>
      </c>
    </row>
    <row r="6" ht="55" customHeight="1" s="74">
      <c r="B6" s="201" t="inlineStr">
        <is>
          <t>MCA Closer (Self-Gen)</t>
        </is>
      </c>
      <c r="C6" s="201" t="inlineStr">
        <is>
          <t>1099 IC</t>
        </is>
      </c>
      <c r="D6" s="201" t="inlineStr">
        <is>
          <t>$0</t>
        </is>
      </c>
      <c r="E6" s="201" t="inlineStr">
        <is>
          <t>60-70% of company commission per self-sourced deal</t>
        </is>
      </c>
      <c r="F6" s="201" t="inlineStr">
        <is>
          <t>$5,000 - $15,000 (addtl)</t>
        </is>
      </c>
      <c r="G6" s="201" t="inlineStr">
        <is>
          <t>$60K - $180K (addtl)</t>
        </is>
      </c>
      <c r="H6" s="201" t="inlineStr">
        <is>
          <t>Higher split because rep sourced the lead at their own cost. Rep brings own book of business. Can combine with company-lead role.</t>
        </is>
      </c>
    </row>
    <row r="7" ht="55" customHeight="1" s="74">
      <c r="B7" s="200" t="inlineStr">
        <is>
          <t>VA / Deal Coordinator</t>
        </is>
      </c>
      <c r="C7" s="200" t="inlineStr">
        <is>
          <t>Offshore Contractor</t>
        </is>
      </c>
      <c r="D7" s="200" t="inlineStr">
        <is>
          <t>$800 - $1,500/month flat</t>
        </is>
      </c>
      <c r="E7" s="200" t="inlineStr">
        <is>
          <t>None (or small per-deal bonus of $25-$50)</t>
        </is>
      </c>
      <c r="F7" s="200" t="inlineStr">
        <is>
          <t>$800 - $1,800</t>
        </is>
      </c>
      <c r="G7" s="200" t="inlineStr">
        <is>
          <t>$9.6K - $21.6K</t>
        </is>
      </c>
      <c r="H7" s="200" t="inlineStr">
        <is>
          <t>Philippines or Latin America. Handles doc collection, CRM updates, funder submissions. Highest ROI hire — multiplies closer productivity 2-3x.</t>
        </is>
      </c>
    </row>
    <row r="8" ht="55" customHeight="1" s="74">
      <c r="B8" s="201" t="inlineStr">
        <is>
          <t>Sales Manager / Floor Lead</t>
        </is>
      </c>
      <c r="C8" s="201" t="inlineStr">
        <is>
          <t>W-2 or 1099</t>
        </is>
      </c>
      <c r="D8" s="201" t="inlineStr">
        <is>
          <t>$3,000 - $4,000/month base</t>
        </is>
      </c>
      <c r="E8" s="201" t="inlineStr">
        <is>
          <t>5-10% override on ALL team deals funded</t>
        </is>
      </c>
      <c r="F8" s="201" t="inlineStr">
        <is>
          <t>$8,000 - $15,000</t>
        </is>
      </c>
      <c r="G8" s="201" t="inlineStr">
        <is>
          <t>$96K - $180K</t>
        </is>
      </c>
      <c r="H8" s="201" t="inlineStr">
        <is>
          <t>Manages closers, morning huddles, call quality, escalations. Override aligns their income with team performance. Hire at 4+ closers.</t>
        </is>
      </c>
    </row>
    <row r="9" ht="55" customHeight="1" s="74">
      <c r="B9" s="200" t="inlineStr">
        <is>
          <t>Renewals Specialist</t>
        </is>
      </c>
      <c r="C9" s="200" t="inlineStr">
        <is>
          <t>1099 IC</t>
        </is>
      </c>
      <c r="D9" s="200" t="inlineStr">
        <is>
          <t>$0</t>
        </is>
      </c>
      <c r="E9" s="200" t="inlineStr">
        <is>
          <t>30-40% of renewal commission (6 pts)</t>
        </is>
      </c>
      <c r="F9" s="200" t="inlineStr">
        <is>
          <t>$3,000 - $8,000</t>
        </is>
      </c>
      <c r="G9" s="200" t="inlineStr">
        <is>
          <t>$36K - $96K</t>
        </is>
      </c>
      <c r="H9" s="200" t="inlineStr">
        <is>
          <t>Works existing funded book for repeat business. Lower split because leads are warm/free. 45% of merchants seek more capital within 6 months.</t>
        </is>
      </c>
    </row>
    <row r="10" ht="55" customHeight="1" s="74">
      <c r="B10" s="201" t="inlineStr">
        <is>
          <t>Marketing / Lead Gen</t>
        </is>
      </c>
      <c r="C10" s="201" t="inlineStr">
        <is>
          <t>W-2 or Agency</t>
        </is>
      </c>
      <c r="D10" s="201" t="inlineStr">
        <is>
          <t>$4,000 - $6,000/month</t>
        </is>
      </c>
      <c r="E10" s="201" t="inlineStr">
        <is>
          <t>Performance bonus tied to cost-per-lead reduction</t>
        </is>
      </c>
      <c r="F10" s="201" t="inlineStr">
        <is>
          <t>$4,500 - $7,000</t>
        </is>
      </c>
      <c r="G10" s="201" t="inlineStr">
        <is>
          <t>$54K - $84K</t>
        </is>
      </c>
      <c r="H10" s="201" t="inlineStr">
        <is>
          <t>Manages Google Ads, SEO, content, landing pages. Goal: reduce avg CPL from $70 to $40-50 over 6 months. Hire in Year 2 to internalize lead gen.</t>
        </is>
      </c>
    </row>
    <row r="11" ht="55" customHeight="1" s="74">
      <c r="B11" s="200" t="inlineStr">
        <is>
          <t>Sub-ISO Partner</t>
        </is>
      </c>
      <c r="C11" s="200" t="inlineStr">
        <is>
          <t>1099 IC</t>
        </is>
      </c>
      <c r="D11" s="200" t="inlineStr">
        <is>
          <t>$0</t>
        </is>
      </c>
      <c r="E11" s="200" t="inlineStr">
        <is>
          <t>You keep 1-2 point override on their funded volume</t>
        </is>
      </c>
      <c r="F11" s="200" t="inlineStr">
        <is>
          <t>Varies (pure margin to you)</t>
        </is>
      </c>
      <c r="G11" s="200" t="inlineStr">
        <is>
          <t>Varies</t>
        </is>
      </c>
      <c r="H11" s="200" t="inlineStr">
        <is>
          <t>Other brokers submit deals through your funder network. You earn override with zero lead cost. Use LendSaaS whitelabel portal.</t>
        </is>
      </c>
    </row>
    <row r="14">
      <c r="A14" s="202" t="inlineStr">
        <is>
          <t>COMMISSION MATH EXAMPLES</t>
        </is>
      </c>
    </row>
    <row r="15">
      <c r="A15" s="160" t="inlineStr"/>
      <c r="B15" s="160" t="inlineStr">
        <is>
          <t>Scenario</t>
        </is>
      </c>
      <c r="C15" s="160" t="inlineStr">
        <is>
          <t>Deal Size</t>
        </is>
      </c>
      <c r="D15" s="160" t="inlineStr">
        <is>
          <t>Points from Funder</t>
        </is>
      </c>
      <c r="E15" s="160" t="inlineStr">
        <is>
          <t>Gross Commission</t>
        </is>
      </c>
      <c r="F15" s="160" t="inlineStr">
        <is>
          <t>Closer Split %</t>
        </is>
      </c>
      <c r="G15" s="160" t="inlineStr">
        <is>
          <t>Closer Earns</t>
        </is>
      </c>
      <c r="H15" s="160" t="inlineStr">
        <is>
          <t>You Keep</t>
        </is>
      </c>
    </row>
    <row r="16">
      <c r="B16" s="204" t="inlineStr">
        <is>
          <t>Company lead → Closer funds $50K deal</t>
        </is>
      </c>
      <c r="C16" s="204" t="inlineStr">
        <is>
          <t>$50,000</t>
        </is>
      </c>
      <c r="D16" s="204" t="inlineStr">
        <is>
          <t>8 pts</t>
        </is>
      </c>
      <c r="E16" s="204" t="inlineStr">
        <is>
          <t>$4,000</t>
        </is>
      </c>
      <c r="F16" s="204" t="inlineStr">
        <is>
          <t>50%</t>
        </is>
      </c>
      <c r="G16" s="204" t="inlineStr">
        <is>
          <t>$2,000</t>
        </is>
      </c>
      <c r="H16" s="204" t="inlineStr">
        <is>
          <t>$2,000</t>
        </is>
      </c>
    </row>
    <row r="17">
      <c r="B17" s="205" t="inlineStr">
        <is>
          <t>Company lead → Closer funds $100K deal</t>
        </is>
      </c>
      <c r="C17" s="205" t="inlineStr">
        <is>
          <t>$100,000</t>
        </is>
      </c>
      <c r="D17" s="205" t="inlineStr">
        <is>
          <t>8 pts</t>
        </is>
      </c>
      <c r="E17" s="205" t="inlineStr">
        <is>
          <t>$8,000</t>
        </is>
      </c>
      <c r="F17" s="205" t="inlineStr">
        <is>
          <t>50%</t>
        </is>
      </c>
      <c r="G17" s="205" t="inlineStr">
        <is>
          <t>$4,000</t>
        </is>
      </c>
      <c r="H17" s="205" t="inlineStr">
        <is>
          <t>$4,000</t>
        </is>
      </c>
    </row>
    <row r="18">
      <c r="B18" s="204" t="inlineStr">
        <is>
          <t>Self-gen lead → Closer funds $50K deal</t>
        </is>
      </c>
      <c r="C18" s="204" t="inlineStr">
        <is>
          <t>$50,000</t>
        </is>
      </c>
      <c r="D18" s="204" t="inlineStr">
        <is>
          <t>8 pts</t>
        </is>
      </c>
      <c r="E18" s="204" t="inlineStr">
        <is>
          <t>$4,000</t>
        </is>
      </c>
      <c r="F18" s="204" t="inlineStr">
        <is>
          <t>70%</t>
        </is>
      </c>
      <c r="G18" s="204" t="inlineStr">
        <is>
          <t>$2,800</t>
        </is>
      </c>
      <c r="H18" s="204" t="inlineStr">
        <is>
          <t>$1,200</t>
        </is>
      </c>
    </row>
    <row r="19">
      <c r="B19" s="205" t="inlineStr">
        <is>
          <t>Renewal → Specialist funds $50K deal</t>
        </is>
      </c>
      <c r="C19" s="205" t="inlineStr">
        <is>
          <t>$50,000</t>
        </is>
      </c>
      <c r="D19" s="205" t="inlineStr">
        <is>
          <t>6 pts</t>
        </is>
      </c>
      <c r="E19" s="205" t="inlineStr">
        <is>
          <t>$3,000</t>
        </is>
      </c>
      <c r="F19" s="205" t="inlineStr">
        <is>
          <t>35%</t>
        </is>
      </c>
      <c r="G19" s="205" t="inlineStr">
        <is>
          <t>$1,050</t>
        </is>
      </c>
      <c r="H19" s="205" t="inlineStr">
        <is>
          <t>$1,950</t>
        </is>
      </c>
    </row>
    <row r="20">
      <c r="B20" s="204" t="inlineStr">
        <is>
          <t>Sub-ISO partner funds $75K deal</t>
        </is>
      </c>
      <c r="C20" s="204" t="inlineStr">
        <is>
          <t>$75,000</t>
        </is>
      </c>
      <c r="D20" s="204" t="inlineStr">
        <is>
          <t>8 pts</t>
        </is>
      </c>
      <c r="E20" s="204" t="inlineStr">
        <is>
          <t>$6,000</t>
        </is>
      </c>
      <c r="F20" s="204" t="inlineStr">
        <is>
          <t>N/A</t>
        </is>
      </c>
      <c r="G20" s="204" t="inlineStr">
        <is>
          <t>Sub keeps 6 pts</t>
        </is>
      </c>
      <c r="H20" s="204" t="inlineStr">
        <is>
          <t>$1,500 (2 pt override)</t>
        </is>
      </c>
    </row>
    <row r="21">
      <c r="B21" s="205" t="inlineStr">
        <is>
          <t>YOU close a $50K deal directly</t>
        </is>
      </c>
      <c r="C21" s="205" t="inlineStr">
        <is>
          <t>$50,000</t>
        </is>
      </c>
      <c r="D21" s="205" t="inlineStr">
        <is>
          <t>8 pts</t>
        </is>
      </c>
      <c r="E21" s="205" t="inlineStr">
        <is>
          <t>$4,000</t>
        </is>
      </c>
      <c r="F21" s="205" t="inlineStr">
        <is>
          <t>0% (you)</t>
        </is>
      </c>
      <c r="G21" s="205" t="inlineStr">
        <is>
          <t>$0</t>
        </is>
      </c>
      <c r="H21" s="205" t="inlineStr">
        <is>
          <t>$4,000 (100%)</t>
        </is>
      </c>
    </row>
  </sheetData>
  <mergeCells count="3">
    <mergeCell ref="A14:H14"/>
    <mergeCell ref="A2:H2"/>
    <mergeCell ref="A1:H1"/>
  </mergeCells>
  <pageMargins left="0.75" right="0.75" top="1" bottom="1" header="0.5" footer="0.5"/>
</worksheet>
</file>

<file path=xl/worksheets/sheet8.xml><?xml version="1.0" encoding="utf-8"?>
<worksheet xmlns="http://schemas.openxmlformats.org/spreadsheetml/2006/main">
  <sheetPr>
    <tabColor rgb="0027AE60"/>
    <outlinePr summaryBelow="1" summaryRight="1"/>
    <pageSetUpPr/>
  </sheetPr>
  <dimension ref="A1:G21"/>
  <sheetViews>
    <sheetView workbookViewId="0">
      <selection activeCell="A1" sqref="A1"/>
    </sheetView>
  </sheetViews>
  <sheetFormatPr baseColWidth="8" defaultRowHeight="15"/>
  <cols>
    <col width="4" customWidth="1" style="74" min="1" max="1"/>
    <col width="22" customWidth="1" style="74" min="2" max="2"/>
    <col width="22" customWidth="1" style="74" min="3" max="3"/>
    <col width="30" customWidth="1" style="74" min="4" max="4"/>
    <col width="30" customWidth="1" style="74" min="5" max="5"/>
    <col width="30" customWidth="1" style="74" min="6" max="6"/>
    <col width="28" customWidth="1" style="74" min="7" max="7"/>
  </cols>
  <sheetData>
    <row r="1" ht="45" customHeight="1" s="74">
      <c r="A1" s="148" t="inlineStr">
        <is>
          <t>HIRING ROADMAP &amp; DECISION TRIGGERS</t>
        </is>
      </c>
    </row>
    <row r="2">
      <c r="A2" s="149" t="inlineStr">
        <is>
          <t>When to hire each role — based on metrics, not calendar dates</t>
        </is>
      </c>
    </row>
    <row r="4">
      <c r="A4" s="152" t="inlineStr"/>
      <c r="B4" s="152" t="inlineStr">
        <is>
          <t>Phase</t>
        </is>
      </c>
      <c r="C4" s="152" t="inlineStr">
        <is>
          <t>Role to Hire</t>
        </is>
      </c>
      <c r="D4" s="152" t="inlineStr">
        <is>
          <t>Trigger / When to Hire</t>
        </is>
      </c>
      <c r="E4" s="152" t="inlineStr">
        <is>
          <t>What They Do</t>
        </is>
      </c>
      <c r="F4" s="152" t="inlineStr">
        <is>
          <t>Compensation</t>
        </is>
      </c>
      <c r="G4" s="152" t="inlineStr">
        <is>
          <t>Success Metrics</t>
        </is>
      </c>
    </row>
    <row r="5" ht="85" customHeight="1" s="74">
      <c r="B5" s="206" t="inlineStr">
        <is>
          <t>PHASE 1
(Months 1-3)</t>
        </is>
      </c>
      <c r="C5" s="200" t="inlineStr">
        <is>
          <t>YOU (Solo)</t>
        </is>
      </c>
      <c r="D5" s="200" t="inlineStr">
        <is>
          <t>Day 1. You ARE the business. Prove unit economics before hiring anyone.</t>
        </is>
      </c>
      <c r="E5" s="200" t="inlineStr">
        <is>
          <t>Close all deals personally. Build funder relationships. Test markets. Learn your real conversion rates.</t>
        </is>
      </c>
      <c r="F5" s="200" t="inlineStr">
        <is>
          <t>N/A — you keep 100% of commissions</t>
        </is>
      </c>
      <c r="G5" s="200" t="inlineStr">
        <is>
          <t>5+ deals/month funded. Know your cost-per-funded-deal. Positive monthly cash flow.</t>
        </is>
      </c>
    </row>
    <row r="6" ht="85" customHeight="1" s="74">
      <c r="B6" s="207" t="inlineStr">
        <is>
          <t>PHASE 2
(Month 4+)</t>
        </is>
      </c>
      <c r="C6" s="201" t="inlineStr">
        <is>
          <t>MCA Closer #1</t>
        </is>
      </c>
      <c r="D6" s="201" t="inlineStr">
        <is>
          <t>You are consistently funding 5+ deals/month AND turning away or losing leads because you can’t get to them fast enough.</t>
        </is>
      </c>
      <c r="E6" s="201" t="inlineStr">
        <is>
          <t>Takes live transfers, works leads, closes deals. Full sales cycle from qualification to funding.</t>
        </is>
      </c>
      <c r="F6" s="201" t="inlineStr">
        <is>
          <t>1099: 50% split on company leads, 70% on self-gen. Optional $2,500/mo draw for 90 days.</t>
        </is>
      </c>
      <c r="G6" s="201" t="inlineStr">
        <is>
          <t>Closer funds 4+ deals/month within 60 days. Revenue from their deals exceeds their commission + lead cost.</t>
        </is>
      </c>
    </row>
    <row r="7" ht="85" customHeight="1" s="74">
      <c r="B7" s="208" t="inlineStr">
        <is>
          <t>PHASE 3
(Month 6+)</t>
        </is>
      </c>
      <c r="C7" s="200" t="inlineStr">
        <is>
          <t>VA / Deal Coordinator</t>
        </is>
      </c>
      <c r="D7" s="200" t="inlineStr">
        <is>
          <t>You and Closer #1 are spending 30%+ of time on admin: chasing docs, submitting to funders, updating CRM. This is killing your close time.</t>
        </is>
      </c>
      <c r="E7" s="200" t="inlineStr">
        <is>
          <t>Doc collection from merchants. Packages and submits deals to funders. Updates pipeline/CRM. Manages follow-up sequences.</t>
        </is>
      </c>
      <c r="F7" s="200" t="inlineStr">
        <is>
          <t>$1,200/month flat (Philippines or LatAm). Optional $25-$50 per-deal bonus.</t>
        </is>
      </c>
      <c r="G7" s="200" t="inlineStr">
        <is>
          <t>Submission turnaround drops from 48hrs to same-day. Closer talk time increases 40%+. Zero missed follow-ups.</t>
        </is>
      </c>
    </row>
    <row r="8" ht="85" customHeight="1" s="74">
      <c r="B8" s="208" t="inlineStr">
        <is>
          <t>PHASE 3
(Month 6+)</t>
        </is>
      </c>
      <c r="C8" s="201" t="inlineStr">
        <is>
          <t>MCA Closer #2</t>
        </is>
      </c>
      <c r="D8" s="201" t="inlineStr">
        <is>
          <t>Lead flow exceeds 100/month AND Closer #1 is at capacity (50+ leads). You have budget from Closer #1’s production.</t>
        </is>
      </c>
      <c r="E8" s="201" t="inlineStr">
        <is>
          <t>Same as Closer #1. Works their own pipeline. Covers different shifts or markets.</t>
        </is>
      </c>
      <c r="F8" s="201" t="inlineStr">
        <is>
          <t>Same as Closer #1: 50% split company leads, $2,500 draw for 90 days.</t>
        </is>
      </c>
      <c r="G8" s="201" t="inlineStr">
        <is>
          <t>Combined team funds 12+ deals/month. Each closer maintains 10%+ conversion rate.</t>
        </is>
      </c>
    </row>
    <row r="9" ht="85" customHeight="1" s="74">
      <c r="B9" s="209" t="inlineStr">
        <is>
          <t>PHASE 4
(Month 9-12)</t>
        </is>
      </c>
      <c r="C9" s="200" t="inlineStr">
        <is>
          <t>Sales Manager</t>
        </is>
      </c>
      <c r="D9" s="200" t="inlineStr">
        <is>
          <t>You have 3+ closers AND you are spending more time managing people than growing the business. You need to step off the sales floor.</t>
        </is>
      </c>
      <c r="E9" s="200" t="inlineStr">
        <is>
          <t>Manages closers. Morning huddles. Call monitoring and coaching. Handles escalations. Onboards new closers.</t>
        </is>
      </c>
      <c r="F9" s="200" t="inlineStr">
        <is>
          <t>$3,500/mo base + 7% override on ALL team deals funded.</t>
        </is>
      </c>
      <c r="G9" s="200" t="inlineStr">
        <is>
          <t>Team conversion rate improves. Closer ramp time shortens. You reclaim 80%+ of your time for business development.</t>
        </is>
      </c>
    </row>
    <row r="10" ht="85" customHeight="1" s="74">
      <c r="B10" s="209" t="inlineStr">
        <is>
          <t>PHASE 4
(Month 10+)</t>
        </is>
      </c>
      <c r="C10" s="201" t="inlineStr">
        <is>
          <t>Renewals Specialist</t>
        </is>
      </c>
      <c r="D10" s="201" t="inlineStr">
        <is>
          <t>Your funded book exceeds 50 merchants AND you have 6+ months of deal history. Renewal opportunities are going unworked.</t>
        </is>
      </c>
      <c r="E10" s="201" t="inlineStr">
        <is>
          <t>Contacts previously funded merchants at 4-5 month mark. Offers additional capital. Manages renewal pipeline separately.</t>
        </is>
      </c>
      <c r="F10" s="201" t="inlineStr">
        <is>
          <t>1099: 35% split on renewal commissions (6 points). Commission-only.</t>
        </is>
      </c>
      <c r="G10" s="201" t="inlineStr">
        <is>
          <t>40%+ of eligible merchants take renewal. Avg 5-10 renewal deals/month. Revenue at near-zero lead cost.</t>
        </is>
      </c>
    </row>
    <row r="11" ht="85" customHeight="1" s="74">
      <c r="B11" s="210" t="inlineStr">
        <is>
          <t>PHASE 5
(Year 2)</t>
        </is>
      </c>
      <c r="C11" s="200" t="inlineStr">
        <is>
          <t>Marketing / Lead Gen</t>
        </is>
      </c>
      <c r="D11" s="200" t="inlineStr">
        <is>
          <t>Your cost-per-lead from live transfers and Google Ads is stable but you want to reduce it. You need SEO, content, and optimized ad spend.</t>
        </is>
      </c>
      <c r="E11" s="200" t="inlineStr">
        <is>
          <t>Manages all Google Ads campaigns. Builds city-specific SEO landing pages. Creates content. Optimizes cost-per-lead.</t>
        </is>
      </c>
      <c r="F11" s="200" t="inlineStr">
        <is>
          <t>$5,000/month salary or agency retainer. Performance bonus for CPL reduction.</t>
        </is>
      </c>
      <c r="G11" s="200" t="inlineStr">
        <is>
          <t>CPL drops from $70 to $40-50 within 6 months. Organic leads begin contributing 15-20% of pipeline.</t>
        </is>
      </c>
    </row>
    <row r="12" ht="85" customHeight="1" s="74">
      <c r="B12" s="210" t="inlineStr">
        <is>
          <t>PHASE 5
(Year 2+)</t>
        </is>
      </c>
      <c r="C12" s="201" t="inlineStr">
        <is>
          <t>Sub-ISO Partners</t>
        </is>
      </c>
      <c r="D12" s="201" t="inlineStr">
        <is>
          <t>You have strong funder relationships and excess capacity. Other small brokers ask to submit through you.</t>
        </is>
      </c>
      <c r="E12" s="201" t="inlineStr">
        <is>
          <t>Independent brokers submit their deals through your funder network. You handle funder relationship. They handle merchant.</t>
        </is>
      </c>
      <c r="F12" s="201" t="inlineStr">
        <is>
          <t>You keep 1-2 point override on every funded deal. Zero lead cost, zero payroll.</t>
        </is>
      </c>
      <c r="G12" s="201" t="inlineStr">
        <is>
          <t>Each active sub-ISO adds 3-5 deals/month. Pure margin. Scale to 5-10 sub-ISOs for $10K-$30K+/month passive override income.</t>
        </is>
      </c>
    </row>
    <row r="14" ht="55" customHeight="1" s="74">
      <c r="B14" s="211" t="inlineStr">
        <is>
          <t>⚠️  GOLDEN RULE: Never hire ahead of your lead supply. Each closer needs 40-50 leads/month to stay productive. If you hire before you have the leads, they’ll starve and quit. Scaling sequence: Prove leads convert → Hire closer → Add VA → Increase lead flow → Hire another closer → Repeat.</t>
        </is>
      </c>
      <c r="C14" s="198" t="n"/>
      <c r="D14" s="198" t="n"/>
      <c r="E14" s="198" t="n"/>
      <c r="F14" s="198" t="n"/>
      <c r="G14" s="199" t="n"/>
    </row>
    <row r="16">
      <c r="A16" s="212" t="inlineStr">
        <is>
          <t>RED FLAGS: DON’T HIRE YET IF...</t>
        </is>
      </c>
    </row>
    <row r="17">
      <c r="B17" s="214" t="inlineStr">
        <is>
          <t>❌  You haven’t personally funded at least 15 deals (you won’t know what good looks like to train others)</t>
        </is>
      </c>
      <c r="C17" s="198" t="n"/>
      <c r="D17" s="198" t="n"/>
      <c r="E17" s="198" t="n"/>
      <c r="F17" s="198" t="n"/>
      <c r="G17" s="199" t="n"/>
    </row>
    <row r="18">
      <c r="B18" s="214" t="inlineStr">
        <is>
          <t>❌  Your lead-to-fund conversion is below 8% (fix your process before scaling it)</t>
        </is>
      </c>
      <c r="C18" s="198" t="n"/>
      <c r="D18" s="198" t="n"/>
      <c r="E18" s="198" t="n"/>
      <c r="F18" s="198" t="n"/>
      <c r="G18" s="199" t="n"/>
    </row>
    <row r="19">
      <c r="B19" s="214" t="inlineStr">
        <is>
          <t>❌  You don’t have at least 3 funder relationships established (closers need options to present merchants)</t>
        </is>
      </c>
      <c r="C19" s="198" t="n"/>
      <c r="D19" s="198" t="n"/>
      <c r="E19" s="198" t="n"/>
      <c r="F19" s="198" t="n"/>
      <c r="G19" s="199" t="n"/>
    </row>
    <row r="20">
      <c r="B20" s="214" t="inlineStr">
        <is>
          <t>❌  Monthly revenue doesn’t cover the new hire’s expected cost within 60 days</t>
        </is>
      </c>
      <c r="C20" s="198" t="n"/>
      <c r="D20" s="198" t="n"/>
      <c r="E20" s="198" t="n"/>
      <c r="F20" s="198" t="n"/>
      <c r="G20" s="199" t="n"/>
    </row>
    <row r="21">
      <c r="B21" s="214" t="inlineStr">
        <is>
          <t>❌  You’re hiring to fix a conversion problem (hire to handle VOLUME, not to fix QUALITY)</t>
        </is>
      </c>
      <c r="C21" s="198" t="n"/>
      <c r="D21" s="198" t="n"/>
      <c r="E21" s="198" t="n"/>
      <c r="F21" s="198" t="n"/>
      <c r="G21" s="199" t="n"/>
    </row>
  </sheetData>
  <mergeCells count="9">
    <mergeCell ref="B19:G19"/>
    <mergeCell ref="B20:G20"/>
    <mergeCell ref="A1:G1"/>
    <mergeCell ref="B14:G14"/>
    <mergeCell ref="B17:G17"/>
    <mergeCell ref="A16:G16"/>
    <mergeCell ref="A2:G2"/>
    <mergeCell ref="B18:G18"/>
    <mergeCell ref="B21:G21"/>
  </mergeCells>
  <pageMargins left="0.75" right="0.75" top="1" bottom="1" header="0.5" footer="0.5"/>
</worksheet>
</file>

<file path=xl/worksheets/sheet9.xml><?xml version="1.0" encoding="utf-8"?>
<worksheet xmlns="http://schemas.openxmlformats.org/spreadsheetml/2006/main">
  <sheetPr>
    <tabColor rgb="001B7A3D"/>
    <outlinePr summaryBelow="1" summaryRight="1"/>
    <pageSetUpPr/>
  </sheetPr>
  <dimension ref="A1:G52"/>
  <sheetViews>
    <sheetView workbookViewId="0">
      <selection activeCell="A1" sqref="A1"/>
    </sheetView>
  </sheetViews>
  <sheetFormatPr baseColWidth="8" defaultRowHeight="15"/>
  <cols>
    <col width="4" customWidth="1" style="74" min="1" max="1"/>
    <col width="40" customWidth="1" style="74" min="2" max="2"/>
    <col width="18" customWidth="1" style="74" min="3" max="3"/>
    <col width="18" customWidth="1" style="74" min="4" max="4"/>
    <col width="18" customWidth="1" style="74" min="5" max="5"/>
    <col width="18" customWidth="1" style="74" min="6" max="6"/>
    <col width="18" customWidth="1" style="74" min="7" max="7"/>
  </cols>
  <sheetData>
    <row r="1" ht="45" customHeight="1" s="74">
      <c r="A1" s="215" t="inlineStr">
        <is>
          <t>SUB-ISO PROGRAM ECONOMICS</t>
        </is>
      </c>
    </row>
    <row r="2">
      <c r="A2" s="216" t="inlineStr">
        <is>
          <t>Revenue projections from Sub-ISO override commissions + platform fees</t>
        </is>
      </c>
    </row>
    <row r="4">
      <c r="A4" s="217" t="inlineStr">
        <is>
          <t>PER-DEAL ECONOMICS (Your Override on Sub-ISO Deals)</t>
        </is>
      </c>
      <c r="B4" s="218" t="n"/>
      <c r="C4" s="218" t="n"/>
      <c r="D4" s="218" t="n"/>
      <c r="E4" s="218" t="n"/>
      <c r="F4" s="218" t="n"/>
      <c r="G4" s="218" t="n"/>
    </row>
    <row r="5">
      <c r="A5" s="219" t="n"/>
      <c r="B5" s="220" t="inlineStr">
        <is>
          <t>Average Deal Size</t>
        </is>
      </c>
      <c r="C5" s="221" t="inlineStr">
        <is>
          <t>$50,000</t>
        </is>
      </c>
      <c r="D5" s="222" t="inlineStr">
        <is>
          <t>Editable assumption</t>
        </is>
      </c>
      <c r="E5" s="219" t="n"/>
      <c r="F5" s="219" t="n"/>
      <c r="G5" s="219" t="n"/>
    </row>
    <row r="6">
      <c r="A6" s="223" t="n"/>
      <c r="B6" s="224" t="inlineStr">
        <is>
          <t>Funder Pays Total Commission</t>
        </is>
      </c>
      <c r="C6" s="225" t="inlineStr">
        <is>
          <t>8 points</t>
        </is>
      </c>
      <c r="D6" s="226" t="inlineStr">
        <is>
          <t>8% of deal = $4,000</t>
        </is>
      </c>
      <c r="E6" s="223" t="n"/>
      <c r="F6" s="223" t="n"/>
      <c r="G6" s="223" t="n"/>
    </row>
    <row r="7">
      <c r="A7" s="219" t="n"/>
      <c r="B7" s="220" t="inlineStr">
        <is>
          <t>MFunding Override</t>
        </is>
      </c>
      <c r="C7" s="221" t="inlineStr">
        <is>
          <t>2 points</t>
        </is>
      </c>
      <c r="D7" s="222" t="inlineStr">
        <is>
          <t>$1,000 retained by MFunding</t>
        </is>
      </c>
      <c r="E7" s="219" t="n"/>
      <c r="F7" s="219" t="n"/>
      <c r="G7" s="219" t="n"/>
    </row>
    <row r="8">
      <c r="A8" s="223" t="n"/>
      <c r="B8" s="224" t="inlineStr">
        <is>
          <t>Sub-ISO Keeps</t>
        </is>
      </c>
      <c r="C8" s="225" t="inlineStr">
        <is>
          <t>6 points</t>
        </is>
      </c>
      <c r="D8" s="226" t="inlineStr">
        <is>
          <t>$3,000 paid to Sub-ISO</t>
        </is>
      </c>
      <c r="E8" s="223" t="n"/>
      <c r="F8" s="223" t="n"/>
      <c r="G8" s="223" t="n"/>
    </row>
    <row r="9">
      <c r="A9" s="219" t="n"/>
      <c r="B9" s="222" t="inlineStr"/>
      <c r="C9" s="221" t="inlineStr"/>
      <c r="D9" s="222" t="inlineStr"/>
      <c r="E9" s="219" t="n"/>
      <c r="F9" s="219" t="n"/>
      <c r="G9" s="219" t="n"/>
    </row>
    <row r="10">
      <c r="A10" s="223" t="n"/>
      <c r="B10" s="224" t="inlineStr">
        <is>
          <t>Your Lead Cost for This Deal</t>
        </is>
      </c>
      <c r="C10" s="225" t="inlineStr">
        <is>
          <t>$0</t>
        </is>
      </c>
      <c r="D10" s="226" t="inlineStr">
        <is>
          <t>Sub-ISO sourced the merchant</t>
        </is>
      </c>
      <c r="E10" s="223" t="n"/>
      <c r="F10" s="223" t="n"/>
      <c r="G10" s="223" t="n"/>
    </row>
    <row r="11">
      <c r="A11" s="219" t="n"/>
      <c r="B11" s="220" t="inlineStr">
        <is>
          <t>Your Closer Cost for This Deal</t>
        </is>
      </c>
      <c r="C11" s="221" t="inlineStr">
        <is>
          <t>$0</t>
        </is>
      </c>
      <c r="D11" s="222" t="inlineStr">
        <is>
          <t>Sub-ISO did the selling</t>
        </is>
      </c>
      <c r="E11" s="219" t="n"/>
      <c r="F11" s="219" t="n"/>
      <c r="G11" s="219" t="n"/>
    </row>
    <row r="12">
      <c r="A12" s="223" t="n"/>
      <c r="B12" s="224" t="inlineStr">
        <is>
          <t>Your VA Cost (submission processing)</t>
        </is>
      </c>
      <c r="C12" s="225" t="inlineStr">
        <is>
          <t>~$15</t>
        </is>
      </c>
      <c r="D12" s="226" t="inlineStr">
        <is>
          <t>Minimal time per deal</t>
        </is>
      </c>
      <c r="E12" s="223" t="n"/>
      <c r="F12" s="223" t="n"/>
      <c r="G12" s="223" t="n"/>
    </row>
    <row r="13">
      <c r="A13" s="219" t="n"/>
      <c r="B13" s="222" t="inlineStr"/>
      <c r="C13" s="221" t="inlineStr"/>
      <c r="D13" s="222" t="inlineStr"/>
      <c r="E13" s="219" t="n"/>
      <c r="F13" s="219" t="n"/>
      <c r="G13" s="219" t="n"/>
    </row>
    <row r="14">
      <c r="A14" s="227" t="n"/>
      <c r="B14" s="228" t="inlineStr">
        <is>
          <t>YOUR NET PROFIT PER SUB-ISO DEAL</t>
        </is>
      </c>
      <c r="C14" s="229" t="inlineStr">
        <is>
          <t>$985</t>
        </is>
      </c>
      <c r="D14" s="176" t="inlineStr">
        <is>
          <t>Nearly pure margin</t>
        </is>
      </c>
      <c r="E14" s="227" t="n"/>
      <c r="F14" s="227" t="n"/>
      <c r="G14" s="227" t="n"/>
    </row>
    <row r="17">
      <c r="A17" s="230" t="inlineStr">
        <is>
          <t>SUB-ISO PROGRAM SCALING PROJECTIONS</t>
        </is>
      </c>
      <c r="B17" s="231" t="n"/>
      <c r="C17" s="231" t="n"/>
      <c r="D17" s="231" t="n"/>
      <c r="E17" s="231" t="n"/>
      <c r="F17" s="231" t="n"/>
      <c r="G17" s="231" t="n"/>
    </row>
    <row r="18">
      <c r="A18" s="152" t="inlineStr"/>
      <c r="B18" s="152" t="inlineStr">
        <is>
          <t>Metric</t>
        </is>
      </c>
      <c r="C18" s="152" t="inlineStr">
        <is>
          <t>Conservative</t>
        </is>
      </c>
      <c r="D18" s="152" t="inlineStr">
        <is>
          <t>Moderate</t>
        </is>
      </c>
      <c r="E18" s="152" t="inlineStr">
        <is>
          <t>Aggressive</t>
        </is>
      </c>
      <c r="F18" s="152" t="inlineStr">
        <is>
          <t>Notes</t>
        </is>
      </c>
    </row>
    <row r="19">
      <c r="A19" s="219" t="n"/>
      <c r="B19" s="222" t="inlineStr">
        <is>
          <t>Active Sub-ISOs</t>
        </is>
      </c>
      <c r="C19" s="232" t="inlineStr">
        <is>
          <t>3</t>
        </is>
      </c>
      <c r="D19" s="232" t="inlineStr">
        <is>
          <t>7</t>
        </is>
      </c>
      <c r="E19" s="232" t="inlineStr">
        <is>
          <t>15</t>
        </is>
      </c>
      <c r="F19" s="222" t="inlineStr">
        <is>
          <t>Recruited over 6-12 months</t>
        </is>
      </c>
    </row>
    <row r="20">
      <c r="A20" s="223" t="n"/>
      <c r="B20" s="226" t="inlineStr">
        <is>
          <t>Avg Deals Per Sub-ISO / Month</t>
        </is>
      </c>
      <c r="C20" s="205" t="inlineStr">
        <is>
          <t>2</t>
        </is>
      </c>
      <c r="D20" s="205" t="inlineStr">
        <is>
          <t>4</t>
        </is>
      </c>
      <c r="E20" s="205" t="inlineStr">
        <is>
          <t>5</t>
        </is>
      </c>
      <c r="F20" s="226" t="inlineStr">
        <is>
          <t>Varies by Sub-ISO experience</t>
        </is>
      </c>
    </row>
    <row r="21">
      <c r="A21" s="219" t="n"/>
      <c r="B21" s="222" t="inlineStr">
        <is>
          <t>Total Sub-ISO Deals / Month</t>
        </is>
      </c>
      <c r="C21" s="232" t="inlineStr">
        <is>
          <t>6</t>
        </is>
      </c>
      <c r="D21" s="232" t="inlineStr">
        <is>
          <t>28</t>
        </is>
      </c>
      <c r="E21" s="232" t="inlineStr">
        <is>
          <t>75</t>
        </is>
      </c>
      <c r="F21" s="222">
        <f>Sub-ISOs × deals each</f>
        <v/>
      </c>
    </row>
    <row r="22">
      <c r="A22" s="223" t="n"/>
      <c r="B22" s="226" t="inlineStr">
        <is>
          <t>Override Per Deal (2 pts on $50K)</t>
        </is>
      </c>
      <c r="C22" s="205" t="inlineStr">
        <is>
          <t>$1,000</t>
        </is>
      </c>
      <c r="D22" s="205" t="inlineStr">
        <is>
          <t>$1,000</t>
        </is>
      </c>
      <c r="E22" s="205" t="inlineStr">
        <is>
          <t>$1,000</t>
        </is>
      </c>
      <c r="F22" s="226" t="inlineStr">
        <is>
          <t>Fixed per deal</t>
        </is>
      </c>
    </row>
    <row r="23">
      <c r="A23" s="219" t="n"/>
      <c r="B23" s="222" t="inlineStr">
        <is>
          <t>Monthly Override Revenue</t>
        </is>
      </c>
      <c r="C23" s="232" t="inlineStr">
        <is>
          <t>$6,000</t>
        </is>
      </c>
      <c r="D23" s="232" t="inlineStr">
        <is>
          <t>$28,000</t>
        </is>
      </c>
      <c r="E23" s="232" t="inlineStr">
        <is>
          <t>$75,000</t>
        </is>
      </c>
      <c r="F23" s="222">
        <f>Deals × $1,000</f>
        <v/>
      </c>
    </row>
    <row r="24">
      <c r="A24" s="223" t="n"/>
      <c r="B24" s="226" t="inlineStr"/>
      <c r="C24" s="205" t="inlineStr"/>
      <c r="D24" s="205" t="inlineStr"/>
      <c r="E24" s="205" t="inlineStr"/>
      <c r="F24" s="226" t="inlineStr"/>
    </row>
    <row r="25">
      <c r="A25" s="219" t="n"/>
      <c r="B25" s="222" t="inlineStr">
        <is>
          <t>Platform Fee Per Sub-ISO</t>
        </is>
      </c>
      <c r="C25" s="232" t="inlineStr">
        <is>
          <t>$149</t>
        </is>
      </c>
      <c r="D25" s="232" t="inlineStr">
        <is>
          <t>$149</t>
        </is>
      </c>
      <c r="E25" s="232" t="inlineStr">
        <is>
          <t>$149</t>
        </is>
      </c>
      <c r="F25" s="222" t="inlineStr">
        <is>
          <t>Monthly GHL access fee</t>
        </is>
      </c>
    </row>
    <row r="26">
      <c r="A26" s="223" t="n"/>
      <c r="B26" s="226" t="inlineStr">
        <is>
          <t>Monthly Platform Fee Revenue</t>
        </is>
      </c>
      <c r="C26" s="205" t="inlineStr">
        <is>
          <t>$447</t>
        </is>
      </c>
      <c r="D26" s="205" t="inlineStr">
        <is>
          <t>$1,043</t>
        </is>
      </c>
      <c r="E26" s="205" t="inlineStr">
        <is>
          <t>$2,235</t>
        </is>
      </c>
      <c r="F26" s="226">
        <f>Sub-ISOs × $149</f>
        <v/>
      </c>
    </row>
    <row r="27">
      <c r="A27" s="219" t="n"/>
      <c r="B27" s="222" t="inlineStr">
        <is>
          <t>Usage Markup Revenue (est.)</t>
        </is>
      </c>
      <c r="C27" s="232" t="inlineStr">
        <is>
          <t>$150</t>
        </is>
      </c>
      <c r="D27" s="232" t="inlineStr">
        <is>
          <t>$500</t>
        </is>
      </c>
      <c r="E27" s="232" t="inlineStr">
        <is>
          <t>$1,500</t>
        </is>
      </c>
      <c r="F27" s="222" t="inlineStr">
        <is>
          <t>SMS/phone/email margin</t>
        </is>
      </c>
    </row>
    <row r="28">
      <c r="A28" s="223" t="n"/>
      <c r="B28" s="226" t="inlineStr"/>
      <c r="C28" s="205" t="inlineStr"/>
      <c r="D28" s="205" t="inlineStr"/>
      <c r="E28" s="205" t="inlineStr"/>
      <c r="F28" s="226" t="inlineStr"/>
    </row>
    <row r="29">
      <c r="A29" s="227" t="n"/>
      <c r="B29" s="228" t="inlineStr">
        <is>
          <t>TOTAL MONTHLY SUB-ISO REVENUE</t>
        </is>
      </c>
      <c r="C29" s="233" t="inlineStr">
        <is>
          <t>$6,597</t>
        </is>
      </c>
      <c r="D29" s="233" t="inlineStr">
        <is>
          <t>$29,543</t>
        </is>
      </c>
      <c r="E29" s="233" t="inlineStr">
        <is>
          <t>$78,735</t>
        </is>
      </c>
      <c r="F29" s="234" t="inlineStr">
        <is>
          <t>Override + fees + markup</t>
        </is>
      </c>
    </row>
    <row r="30">
      <c r="A30" s="223" t="n"/>
      <c r="B30" s="226" t="inlineStr">
        <is>
          <t>Monthly Cost (VA time, GHL incr.)</t>
        </is>
      </c>
      <c r="C30" s="205" t="inlineStr">
        <is>
          <t>($300)</t>
        </is>
      </c>
      <c r="D30" s="205" t="inlineStr">
        <is>
          <t>($700)</t>
        </is>
      </c>
      <c r="E30" s="205" t="inlineStr">
        <is>
          <t>($1,500)</t>
        </is>
      </c>
      <c r="F30" s="226" t="inlineStr">
        <is>
          <t>Minimal incremental cost</t>
        </is>
      </c>
    </row>
    <row r="31">
      <c r="A31" s="227" t="n"/>
      <c r="B31" s="228" t="inlineStr">
        <is>
          <t>MONTHLY SUB-ISO NET PROFIT</t>
        </is>
      </c>
      <c r="C31" s="233" t="inlineStr">
        <is>
          <t>$6,297</t>
        </is>
      </c>
      <c r="D31" s="233" t="inlineStr">
        <is>
          <t>$28,843</t>
        </is>
      </c>
      <c r="E31" s="233" t="inlineStr">
        <is>
          <t>$77,235</t>
        </is>
      </c>
      <c r="F31" s="234" t="inlineStr">
        <is>
          <t>Nearly all margin</t>
        </is>
      </c>
    </row>
    <row r="32">
      <c r="A32" s="223" t="n"/>
      <c r="B32" s="226" t="inlineStr"/>
      <c r="C32" s="205" t="inlineStr"/>
      <c r="D32" s="205" t="inlineStr"/>
      <c r="E32" s="205" t="inlineStr"/>
      <c r="F32" s="226" t="inlineStr"/>
    </row>
    <row r="33">
      <c r="A33" s="227" t="n"/>
      <c r="B33" s="228" t="inlineStr">
        <is>
          <t>ANNUAL SUB-ISO NET PROFIT</t>
        </is>
      </c>
      <c r="C33" s="233" t="inlineStr">
        <is>
          <t>$75,564</t>
        </is>
      </c>
      <c r="D33" s="233" t="inlineStr">
        <is>
          <t>$346,116</t>
        </is>
      </c>
      <c r="E33" s="233" t="inlineStr">
        <is>
          <t>$926,820</t>
        </is>
      </c>
      <c r="F33" s="234" t="inlineStr">
        <is>
          <t>On top of direct brokerage profits</t>
        </is>
      </c>
    </row>
    <row r="36">
      <c r="A36" s="235" t="inlineStr">
        <is>
          <t>COMBINED BUSINESS (Year 2 Steady State — Moderate Scenario)</t>
        </is>
      </c>
      <c r="B36" s="236" t="n"/>
      <c r="C36" s="236" t="n"/>
      <c r="D36" s="236" t="n"/>
      <c r="E36" s="236" t="n"/>
      <c r="F36" s="236" t="n"/>
      <c r="G36" s="236" t="n"/>
    </row>
    <row r="37">
      <c r="A37" s="152" t="inlineStr"/>
      <c r="B37" s="152" t="inlineStr">
        <is>
          <t>Revenue Stream</t>
        </is>
      </c>
      <c r="C37" s="152" t="inlineStr">
        <is>
          <t>Monthly</t>
        </is>
      </c>
      <c r="D37" s="152" t="inlineStr">
        <is>
          <t>Annual</t>
        </is>
      </c>
    </row>
    <row r="38">
      <c r="A38" s="219" t="n"/>
      <c r="B38" s="222" t="inlineStr">
        <is>
          <t>Direct Brokerage Net Profit (from Scaling P&amp;L)</t>
        </is>
      </c>
      <c r="C38" s="237" t="inlineStr">
        <is>
          <t>$45,000/month</t>
        </is>
      </c>
      <c r="D38" s="237" t="inlineStr">
        <is>
          <t>$540,000/year</t>
        </is>
      </c>
      <c r="E38" s="219" t="n"/>
      <c r="F38" s="219" t="n"/>
    </row>
    <row r="39">
      <c r="A39" s="223" t="n"/>
      <c r="B39" s="226" t="inlineStr">
        <is>
          <t>Sub-ISO Override + Fees Net Profit</t>
        </is>
      </c>
      <c r="C39" s="238" t="inlineStr">
        <is>
          <t>$28,843/month</t>
        </is>
      </c>
      <c r="D39" s="238" t="inlineStr">
        <is>
          <t>$346,116/year</t>
        </is>
      </c>
      <c r="E39" s="223" t="n"/>
      <c r="F39" s="223" t="n"/>
    </row>
    <row r="40">
      <c r="A40" s="219" t="n"/>
      <c r="B40" s="222" t="inlineStr"/>
      <c r="C40" s="237" t="inlineStr"/>
      <c r="D40" s="237" t="inlineStr"/>
      <c r="E40" s="219" t="n"/>
      <c r="F40" s="219" t="n"/>
    </row>
    <row r="41">
      <c r="A41" s="227" t="n"/>
      <c r="B41" s="239" t="inlineStr">
        <is>
          <t>TOTAL COMBINED NET PROFIT</t>
        </is>
      </c>
      <c r="C41" s="240" t="inlineStr">
        <is>
          <t>$73,843/month</t>
        </is>
      </c>
      <c r="D41" s="229" t="inlineStr">
        <is>
          <t>$886,116/year</t>
        </is>
      </c>
      <c r="E41" s="227" t="n"/>
      <c r="F41" s="227" t="n"/>
    </row>
    <row r="43" ht="60" customHeight="1" s="74">
      <c r="B43" s="241" t="inlineStr">
        <is>
          <t>KEY INSIGHT: Sub-ISO revenue is nearly pure margin because you pay $0 for leads and $0 for closers on those deals. The Sub-ISO program can eventually generate MORE profit than your direct brokerage operations, with LESS operational effort. This is how you transition from brokerage operator to platform owner.</t>
        </is>
      </c>
    </row>
    <row r="46">
      <c r="A46" s="242" t="inlineStr">
        <is>
          <t>GHL PLATFORM FEE REVENUE (Additional Recurring Income)</t>
        </is>
      </c>
      <c r="B46" s="243" t="n"/>
      <c r="C46" s="243" t="n"/>
      <c r="D46" s="243" t="n"/>
      <c r="E46" s="243" t="n"/>
      <c r="F46" s="243" t="n"/>
      <c r="G46" s="243" t="n"/>
    </row>
    <row r="47">
      <c r="A47" s="219" t="n"/>
      <c r="B47" s="222" t="inlineStr">
        <is>
          <t>GHL SaaS Pro Cost (your cost)</t>
        </is>
      </c>
      <c r="C47" s="221" t="inlineStr">
        <is>
          <t>$497/month</t>
        </is>
      </c>
      <c r="D47" s="222" t="inlineStr">
        <is>
          <t>Fixed regardless of sub-ISOs</t>
        </is>
      </c>
      <c r="E47" s="219" t="n"/>
      <c r="F47" s="219" t="n"/>
    </row>
    <row r="48">
      <c r="A48" s="223" t="n"/>
      <c r="B48" s="226" t="inlineStr">
        <is>
          <t>Sub-ISO Platform Fee (you charge)</t>
        </is>
      </c>
      <c r="C48" s="225" t="inlineStr">
        <is>
          <t>$99–$199/month each</t>
        </is>
      </c>
      <c r="D48" s="226" t="inlineStr">
        <is>
          <t>Recurring revenue per partner</t>
        </is>
      </c>
      <c r="E48" s="223" t="n"/>
      <c r="F48" s="223" t="n"/>
    </row>
    <row r="49">
      <c r="A49" s="219" t="n"/>
      <c r="B49" s="222" t="inlineStr">
        <is>
          <t>Break-even on GHL cost</t>
        </is>
      </c>
      <c r="C49" s="221" t="inlineStr">
        <is>
          <t>3–5 Sub-ISOs at $99–$149</t>
        </is>
      </c>
      <c r="D49" s="222" t="inlineStr">
        <is>
          <t>GHL pays for itself</t>
        </is>
      </c>
      <c r="E49" s="219" t="n"/>
      <c r="F49" s="219" t="n"/>
    </row>
    <row r="50">
      <c r="A50" s="223" t="n"/>
      <c r="B50" s="226" t="inlineStr">
        <is>
          <t>10 Sub-ISOs at $149/month</t>
        </is>
      </c>
      <c r="C50" s="225" t="inlineStr">
        <is>
          <t>$1,490/month revenue</t>
        </is>
      </c>
      <c r="D50" s="226" t="inlineStr">
        <is>
          <t>$993/month profit after GHL cost</t>
        </is>
      </c>
      <c r="E50" s="223" t="n"/>
      <c r="F50" s="223" t="n"/>
    </row>
    <row r="51">
      <c r="A51" s="219" t="n"/>
      <c r="B51" s="222" t="inlineStr">
        <is>
          <t>20 Sub-ISOs at $149/month</t>
        </is>
      </c>
      <c r="C51" s="221" t="inlineStr">
        <is>
          <t>$2,980/month revenue</t>
        </is>
      </c>
      <c r="D51" s="222" t="inlineStr">
        <is>
          <t>$2,483/month profit after GHL cost</t>
        </is>
      </c>
      <c r="E51" s="219" t="n"/>
      <c r="F51" s="219" t="n"/>
    </row>
    <row r="52">
      <c r="A52" s="223" t="n"/>
      <c r="B52" s="226" t="inlineStr">
        <is>
          <t>SMS/Phone Markup (10 Sub-ISOs)</t>
        </is>
      </c>
      <c r="C52" s="225" t="inlineStr">
        <is>
          <t>$500–$1,500/month</t>
        </is>
      </c>
      <c r="D52" s="226" t="inlineStr">
        <is>
          <t>Depends on usage volume</t>
        </is>
      </c>
      <c r="E52" s="223" t="n"/>
      <c r="F52" s="223" t="n"/>
    </row>
  </sheetData>
  <mergeCells count="7">
    <mergeCell ref="A36:G36"/>
    <mergeCell ref="A1:G1"/>
    <mergeCell ref="A17:G17"/>
    <mergeCell ref="A4:G4"/>
    <mergeCell ref="A2:G2"/>
    <mergeCell ref="B43:G43"/>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2026-03-01T01:07:07Z</dcterms:created>
  <dcterms:modified xmlns:dcterms="http://purl.org/dc/terms/" xmlns:xsi="http://www.w3.org/2001/XMLSchema-instance" xsi:type="dcterms:W3CDTF">2026-03-01T15:53:57Z</dcterms:modified>
  <cp:revision>0</cp:revision>
</cp:coreProperties>
</file>